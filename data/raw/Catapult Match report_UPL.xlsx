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84d086cb18a9d7/Desktop/FUFA/Match_Analysis/"/>
    </mc:Choice>
  </mc:AlternateContent>
  <xr:revisionPtr revIDLastSave="15" documentId="13_ncr:1_{C66EAE4F-FED8-4CCC-B5BC-312264C63F3A}" xr6:coauthVersionLast="47" xr6:coauthVersionMax="47" xr10:uidLastSave="{6473BF80-6D29-4895-9673-AE9C14D5F85A}"/>
  <bookViews>
    <workbookView xWindow="-120" yWindow="-120" windowWidth="20730" windowHeight="11760" activeTab="3" xr2:uid="{F6077C19-DE50-4D6C-8F85-250EF59DDDF4}"/>
  </bookViews>
  <sheets>
    <sheet name="Sheet1" sheetId="1" r:id="rId1"/>
    <sheet name="Sheet2" sheetId="2" r:id="rId2"/>
    <sheet name="Sheet4" sheetId="4" r:id="rId3"/>
    <sheet name="Sheet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0" i="4" l="1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42" i="4"/>
  <c r="E19" i="2"/>
  <c r="C19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3" i="2"/>
  <c r="L34" i="2"/>
  <c r="K34" i="2"/>
  <c r="I34" i="2"/>
  <c r="H34" i="2"/>
  <c r="G34" i="2"/>
  <c r="F34" i="2"/>
  <c r="E34" i="2"/>
  <c r="D34" i="2"/>
  <c r="C34" i="2"/>
  <c r="M19" i="2"/>
  <c r="L19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3" i="2"/>
  <c r="N19" i="2" l="1"/>
</calcChain>
</file>

<file path=xl/sharedStrings.xml><?xml version="1.0" encoding="utf-8"?>
<sst xmlns="http://schemas.openxmlformats.org/spreadsheetml/2006/main" count="982" uniqueCount="251">
  <si>
    <t>Match Day</t>
  </si>
  <si>
    <t>Distance</t>
  </si>
  <si>
    <t>Sprint Distance</t>
  </si>
  <si>
    <t>Power Plays</t>
  </si>
  <si>
    <t>Energy</t>
  </si>
  <si>
    <t>Impacts</t>
  </si>
  <si>
    <t>Player Load</t>
  </si>
  <si>
    <t>Top Speed</t>
  </si>
  <si>
    <t>Power Score</t>
  </si>
  <si>
    <t>Work Ratio</t>
  </si>
  <si>
    <t>MD1</t>
  </si>
  <si>
    <t>MD2</t>
  </si>
  <si>
    <t>MD3</t>
  </si>
  <si>
    <t>MD4</t>
  </si>
  <si>
    <t>MD5</t>
  </si>
  <si>
    <t>MD6</t>
  </si>
  <si>
    <t>MD7</t>
  </si>
  <si>
    <t>MD8</t>
  </si>
  <si>
    <t>MD9</t>
  </si>
  <si>
    <t>MD10</t>
  </si>
  <si>
    <t>MD11</t>
  </si>
  <si>
    <t>MD12</t>
  </si>
  <si>
    <t>MD13</t>
  </si>
  <si>
    <t>MD14</t>
  </si>
  <si>
    <t>MD15</t>
  </si>
  <si>
    <t>MD16</t>
  </si>
  <si>
    <t>MD17</t>
  </si>
  <si>
    <t>MD18</t>
  </si>
  <si>
    <t>MD19</t>
  </si>
  <si>
    <t>MD20</t>
  </si>
  <si>
    <t>MD21</t>
  </si>
  <si>
    <t>MD22</t>
  </si>
  <si>
    <t>MD23</t>
  </si>
  <si>
    <t>MD24</t>
  </si>
  <si>
    <t>MD25</t>
  </si>
  <si>
    <t>MD26</t>
  </si>
  <si>
    <t>MD27</t>
  </si>
  <si>
    <t>MD28</t>
  </si>
  <si>
    <t>MD29</t>
  </si>
  <si>
    <t>MD30</t>
  </si>
  <si>
    <t>Club Name</t>
  </si>
  <si>
    <t>Mbarara City FC</t>
  </si>
  <si>
    <t>Wakiso Giants FC</t>
  </si>
  <si>
    <t>Kitara FC</t>
  </si>
  <si>
    <t>BUL FC</t>
  </si>
  <si>
    <t>Vipers SC</t>
  </si>
  <si>
    <t>Police FC</t>
  </si>
  <si>
    <t>Lugazi FC</t>
  </si>
  <si>
    <t>KCCA FC</t>
  </si>
  <si>
    <t>URA FC</t>
  </si>
  <si>
    <t>NEC FC</t>
  </si>
  <si>
    <t>Maroons FC</t>
  </si>
  <si>
    <t>UPDF FC</t>
  </si>
  <si>
    <t>Soltilo Bright Stars FC</t>
  </si>
  <si>
    <t>Mbale Heroes FC</t>
  </si>
  <si>
    <t>Express FC</t>
  </si>
  <si>
    <t>SC Villa</t>
  </si>
  <si>
    <t>Number of Match Days Recorded</t>
  </si>
  <si>
    <t xml:space="preserve"> Total Match Days </t>
  </si>
  <si>
    <t>Percentage</t>
  </si>
  <si>
    <t>MD 4</t>
  </si>
  <si>
    <t>MD 5</t>
  </si>
  <si>
    <t>MD 6</t>
  </si>
  <si>
    <t>MD 7</t>
  </si>
  <si>
    <t>MD 8</t>
  </si>
  <si>
    <t>MD 9</t>
  </si>
  <si>
    <t>MD 10</t>
  </si>
  <si>
    <t>MD 11</t>
  </si>
  <si>
    <t>MD 12</t>
  </si>
  <si>
    <t>MD 13</t>
  </si>
  <si>
    <t>MD 14</t>
  </si>
  <si>
    <t>MD 15</t>
  </si>
  <si>
    <t>MD 16</t>
  </si>
  <si>
    <t>MD 17</t>
  </si>
  <si>
    <t>MD 18</t>
  </si>
  <si>
    <t>MD 19</t>
  </si>
  <si>
    <t>MD 20</t>
  </si>
  <si>
    <t>MD 21</t>
  </si>
  <si>
    <t>MD 22</t>
  </si>
  <si>
    <t>MD 23</t>
  </si>
  <si>
    <t>MD 24</t>
  </si>
  <si>
    <t>MD 25</t>
  </si>
  <si>
    <t>MD 26</t>
  </si>
  <si>
    <t>MD 27</t>
  </si>
  <si>
    <t>MD 28</t>
  </si>
  <si>
    <t>MD 29</t>
  </si>
  <si>
    <t>MD 30</t>
  </si>
  <si>
    <t>Count</t>
  </si>
  <si>
    <t>Away</t>
  </si>
  <si>
    <t>Home</t>
  </si>
  <si>
    <t>Result</t>
  </si>
  <si>
    <t>Loss</t>
  </si>
  <si>
    <t>Win</t>
  </si>
  <si>
    <t>Draw</t>
  </si>
  <si>
    <t>Average Number of Players Per Match Day</t>
  </si>
  <si>
    <t>Average Total Accelerations</t>
  </si>
  <si>
    <t>Average Total Decelerations</t>
  </si>
  <si>
    <t>Acceleration Counts Per Minute</t>
  </si>
  <si>
    <t>Deceleration Counts Per Minute</t>
  </si>
  <si>
    <t>Total Accelerations</t>
  </si>
  <si>
    <t>Total Decelerations</t>
  </si>
  <si>
    <t>Position Category</t>
  </si>
  <si>
    <t>Defenders</t>
  </si>
  <si>
    <t>Midfielders</t>
  </si>
  <si>
    <t>Forwards</t>
  </si>
  <si>
    <t>Average Top Speed</t>
  </si>
  <si>
    <t>Average Distance</t>
  </si>
  <si>
    <t>Average Distance/min</t>
  </si>
  <si>
    <t>Average Sprint Distance</t>
  </si>
  <si>
    <t>Average Impacts</t>
  </si>
  <si>
    <t>Average Player Load</t>
  </si>
  <si>
    <t>Average Power Score</t>
  </si>
  <si>
    <t>Average Work Ratio</t>
  </si>
  <si>
    <t>Average Accs/min</t>
  </si>
  <si>
    <t>Average Decs/min</t>
  </si>
  <si>
    <t>Season End League Position</t>
  </si>
  <si>
    <t>Average Energy</t>
  </si>
  <si>
    <t>Season Average</t>
  </si>
  <si>
    <t>Maroons Fc</t>
  </si>
  <si>
    <t>Ura Fc</t>
  </si>
  <si>
    <t>Lugazi Fc</t>
  </si>
  <si>
    <t>Wakiso Giants Fc</t>
  </si>
  <si>
    <t>Mbarara City Fc</t>
  </si>
  <si>
    <t>Nec Fc</t>
  </si>
  <si>
    <t>Kitara Fc</t>
  </si>
  <si>
    <t>Express Fc</t>
  </si>
  <si>
    <t>Vipers Sc</t>
  </si>
  <si>
    <t>Updf Fc</t>
  </si>
  <si>
    <t>Kcca Fc</t>
  </si>
  <si>
    <t>Bul Fc</t>
  </si>
  <si>
    <t>Mbale Heroes Fc</t>
  </si>
  <si>
    <t>Police Fc</t>
  </si>
  <si>
    <t>Soltilo Bright Stars Fc</t>
  </si>
  <si>
    <t>Sc Villa</t>
  </si>
  <si>
    <t>Players Used</t>
  </si>
  <si>
    <t>Total Squad</t>
  </si>
  <si>
    <t>Total Players</t>
  </si>
  <si>
    <t>Average Power Plays</t>
  </si>
  <si>
    <t>Distance per Minute</t>
  </si>
  <si>
    <t>Uploaded Matches</t>
  </si>
  <si>
    <t>Analysed Matches</t>
  </si>
  <si>
    <t>Missing Match Days</t>
  </si>
  <si>
    <t>Match Days Not Analysed</t>
  </si>
  <si>
    <t>MD19 ,MD20</t>
  </si>
  <si>
    <t>MD23,MD22</t>
  </si>
  <si>
    <t>MD17-MD20,MD10</t>
  </si>
  <si>
    <t>MD26 - MD30</t>
  </si>
  <si>
    <t>MD23 - MD30, MD17</t>
  </si>
  <si>
    <t>MD16 - MD30,MD1</t>
  </si>
  <si>
    <t>MD7, MD9 - MD30</t>
  </si>
  <si>
    <t>MD7,MD9-MD30</t>
  </si>
  <si>
    <r>
      <t>MD19,MD20,</t>
    </r>
    <r>
      <rPr>
        <sz val="11"/>
        <color rgb="FFFF0000"/>
        <rFont val="Arial"/>
        <family val="2"/>
      </rPr>
      <t>MD18</t>
    </r>
  </si>
  <si>
    <r>
      <t>MD12</t>
    </r>
    <r>
      <rPr>
        <sz val="11"/>
        <color rgb="FFFF0000"/>
        <rFont val="Arial"/>
        <family val="2"/>
      </rPr>
      <t>,MD9</t>
    </r>
  </si>
  <si>
    <r>
      <t>MD15</t>
    </r>
    <r>
      <rPr>
        <sz val="11"/>
        <color rgb="FF000000"/>
        <rFont val="Arial"/>
        <family val="2"/>
      </rPr>
      <t>,MD17,MD23 - MD30</t>
    </r>
  </si>
  <si>
    <r>
      <t>MD1,MD16-MD30,</t>
    </r>
    <r>
      <rPr>
        <sz val="11"/>
        <color rgb="FFFF0000"/>
        <rFont val="Arial"/>
        <family val="2"/>
      </rPr>
      <t>MD9</t>
    </r>
    <r>
      <rPr>
        <sz val="11"/>
        <color rgb="FF000000"/>
        <rFont val="Arial"/>
        <family val="2"/>
      </rPr>
      <t>,</t>
    </r>
    <r>
      <rPr>
        <sz val="11"/>
        <color rgb="FFFF0000"/>
        <rFont val="Arial"/>
        <family val="2"/>
      </rPr>
      <t>MD4</t>
    </r>
  </si>
  <si>
    <t>metric</t>
  </si>
  <si>
    <t>player</t>
  </si>
  <si>
    <t>club</t>
  </si>
  <si>
    <t>position</t>
  </si>
  <si>
    <t>Defender</t>
  </si>
  <si>
    <t>Midfielder</t>
  </si>
  <si>
    <t>Forward</t>
  </si>
  <si>
    <t>Felix Okot</t>
  </si>
  <si>
    <t>Edward Kabona</t>
  </si>
  <si>
    <t>Gavin Kizito</t>
  </si>
  <si>
    <t>James Mubezi</t>
  </si>
  <si>
    <t>Joseph Akandwanaho</t>
  </si>
  <si>
    <t>James Penz Begisa</t>
  </si>
  <si>
    <t>Paul Patrick Mbowa</t>
  </si>
  <si>
    <t>David Owori</t>
  </si>
  <si>
    <t>Innocent Kitamwe Kitimbo</t>
  </si>
  <si>
    <t>Borris Onegi</t>
  </si>
  <si>
    <t>Nicholas Mwere</t>
  </si>
  <si>
    <t>impacts</t>
  </si>
  <si>
    <t>Christopher Tebandeke</t>
  </si>
  <si>
    <t>Junior Yunus Sentamu</t>
  </si>
  <si>
    <t>Hudson Mbalire</t>
  </si>
  <si>
    <t>Abdulkarim Watambala</t>
  </si>
  <si>
    <t>Rogers Kiwanuka</t>
  </si>
  <si>
    <t>Shafik Kwikiriza</t>
  </si>
  <si>
    <t>Jonathan Gift Odongo</t>
  </si>
  <si>
    <t>Enock Ssebaggala</t>
  </si>
  <si>
    <t>Jude Semugabi</t>
  </si>
  <si>
    <t>Mujahid Ogama</t>
  </si>
  <si>
    <t>Elagu Gabriel</t>
  </si>
  <si>
    <t>Moses Okabo Aliro</t>
  </si>
  <si>
    <t>Kiza Arafat</t>
  </si>
  <si>
    <t>Freedom Mungudit</t>
  </si>
  <si>
    <t>Joseph Ssemujju</t>
  </si>
  <si>
    <t>Frank Gladison Mugisa</t>
  </si>
  <si>
    <t>Power SCore</t>
  </si>
  <si>
    <t>Ali Arshavin Bayo</t>
  </si>
  <si>
    <t>Abel Michael Etrude</t>
  </si>
  <si>
    <t>Ambrose Arinda</t>
  </si>
  <si>
    <t>Ronald Kayondo</t>
  </si>
  <si>
    <t>Hassan Ssenyonjo</t>
  </si>
  <si>
    <t>Seiri Arigumaho</t>
  </si>
  <si>
    <t>Henry Kitegenyi</t>
  </si>
  <si>
    <t>Christopher Kamagu</t>
  </si>
  <si>
    <t>Hilary Panuel Mukundane</t>
  </si>
  <si>
    <t>Milton Karisa</t>
  </si>
  <si>
    <t>Rogers Ochaki Torach</t>
  </si>
  <si>
    <t>Joel Sserunjogi</t>
  </si>
  <si>
    <t>Martin Aprem</t>
  </si>
  <si>
    <t>Saidi Mayanja</t>
  </si>
  <si>
    <t>Lazaro Bwambale</t>
  </si>
  <si>
    <t>Warren Buule</t>
  </si>
  <si>
    <t>appearances</t>
  </si>
  <si>
    <t>Distance Per Minute</t>
  </si>
  <si>
    <t>Mean</t>
  </si>
  <si>
    <t>std dev</t>
  </si>
  <si>
    <t xml:space="preserve">%age of SD </t>
  </si>
  <si>
    <t>PLAYER</t>
  </si>
  <si>
    <t>CLUB</t>
  </si>
  <si>
    <t>M.P</t>
  </si>
  <si>
    <t>MIN.</t>
  </si>
  <si>
    <t xml:space="preserve">AV. MIN </t>
  </si>
  <si>
    <t xml:space="preserve">Edward Kabona </t>
  </si>
  <si>
    <t xml:space="preserve">Maroons FC </t>
  </si>
  <si>
    <t xml:space="preserve">Enock Walusimbi </t>
  </si>
  <si>
    <t xml:space="preserve">URA FC </t>
  </si>
  <si>
    <t xml:space="preserve">James Mubezi </t>
  </si>
  <si>
    <t xml:space="preserve">KCCA FC </t>
  </si>
  <si>
    <t xml:space="preserve">Ayiko Richard </t>
  </si>
  <si>
    <t xml:space="preserve">Lugazi FC </t>
  </si>
  <si>
    <t xml:space="preserve">Rogers Ochaki Torach </t>
  </si>
  <si>
    <t xml:space="preserve">Vipers SC </t>
  </si>
  <si>
    <t xml:space="preserve">Ronald Otti </t>
  </si>
  <si>
    <t xml:space="preserve">Kitara FC </t>
  </si>
  <si>
    <t xml:space="preserve">Geriga Atendele </t>
  </si>
  <si>
    <t xml:space="preserve">NEC FC </t>
  </si>
  <si>
    <t xml:space="preserve">Hilary Panuel Mukundane </t>
  </si>
  <si>
    <t xml:space="preserve">Ronald Kayondo </t>
  </si>
  <si>
    <t xml:space="preserve">UPDF FC </t>
  </si>
  <si>
    <t xml:space="preserve">Ali Arshavin Bayo </t>
  </si>
  <si>
    <t xml:space="preserve">Saidi Kyeyune </t>
  </si>
  <si>
    <t xml:space="preserve">Express FC </t>
  </si>
  <si>
    <t xml:space="preserve">Abdulkarim Watambala </t>
  </si>
  <si>
    <t xml:space="preserve">Hassan Ssenyonjo </t>
  </si>
  <si>
    <t xml:space="preserve">Wakiso Giants FC </t>
  </si>
  <si>
    <t xml:space="preserve">David Owori </t>
  </si>
  <si>
    <t xml:space="preserve">SC Villa </t>
  </si>
  <si>
    <t xml:space="preserve">Nelson Senkatuka </t>
  </si>
  <si>
    <t xml:space="preserve">Soltilo Bright Stars </t>
  </si>
  <si>
    <t xml:space="preserve">Seiri Arigumaho </t>
  </si>
  <si>
    <t xml:space="preserve">Mbarara City FC </t>
  </si>
  <si>
    <t xml:space="preserve">Allan Okello </t>
  </si>
  <si>
    <t>Acceleration Counts per Minute</t>
  </si>
  <si>
    <t>Deceleration Counts per Minute</t>
  </si>
  <si>
    <t>club_for</t>
  </si>
  <si>
    <t>total_distance_km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</si>
</sst>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0.0"/>
    <numFmt numFmtId="165" formatCode="_-* #,##0.00_-;\-* #,##0.00_-;_-* &quot;-&quot;_-;_-@_-"/>
  </numFmts>
  <fonts count="22" x14ac:knownFonts="1">
    <font>
      <sz val="11"/>
      <color theme="1"/>
      <name val="Calibri"/>
      <family val="2"/>
      <scheme val="minor"/>
    </font>
    <font>
      <b/>
      <sz val="8.5"/>
      <color rgb="FF000000"/>
      <name val="Arial"/>
      <family val="2"/>
    </font>
    <font>
      <sz val="11.5"/>
      <color rgb="FF000000"/>
      <name val="Arial"/>
      <family val="2"/>
    </font>
    <font>
      <b/>
      <sz val="11.5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11"/>
      <color theme="1"/>
      <name val="Calibri"/>
      <family val="2"/>
      <scheme val="minor"/>
    </font>
    <font>
      <b/>
      <sz val="8"/>
      <color theme="0"/>
      <name val="Segoe UI"/>
      <family val="2"/>
    </font>
    <font>
      <b/>
      <sz val="11"/>
      <color rgb="FF000000"/>
      <name val="Arial Narrow"/>
      <family val="2"/>
    </font>
    <font>
      <b/>
      <sz val="11"/>
      <color theme="1"/>
      <name val="Arial Narrow"/>
      <family val="2"/>
    </font>
    <font>
      <b/>
      <sz val="11"/>
      <color rgb="FF0070C0"/>
      <name val="Arial Narrow"/>
      <family val="2"/>
    </font>
    <font>
      <b/>
      <sz val="11"/>
      <color rgb="FFFF0000"/>
      <name val="Arial Narrow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Segoe UI"/>
      <family val="2"/>
    </font>
    <font>
      <b/>
      <sz val="11"/>
      <color rgb="FF000000"/>
      <name val="Arial"/>
      <family val="2"/>
    </font>
    <font>
      <sz val="11"/>
      <color rgb="FFFF0000"/>
      <name val="Arial"/>
      <family val="2"/>
    </font>
    <font>
      <b/>
      <sz val="8"/>
      <color rgb="FF000000"/>
      <name val="Segoe UI"/>
      <family val="2"/>
    </font>
    <font>
      <b/>
      <sz val="10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FF990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1" fontId="8" fillId="0" borderId="0" applyFont="0" applyFill="0" applyBorder="0" applyAlignment="0" applyProtection="0"/>
  </cellStyleXfs>
  <cellXfs count="95">
    <xf numFmtId="0" fontId="0" fillId="0" borderId="0" xfId="0"/>
    <xf numFmtId="0" fontId="2" fillId="2" borderId="1" xfId="0" applyFont="1" applyFill="1" applyBorder="1" applyAlignment="1">
      <alignment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2" fillId="2" borderId="0" xfId="0" applyFont="1" applyFill="1" applyAlignment="1">
      <alignment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 indent="5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4" fontId="0" fillId="0" borderId="0" xfId="0" applyNumberFormat="1"/>
    <xf numFmtId="0" fontId="9" fillId="3" borderId="0" xfId="0" applyFont="1" applyFill="1" applyAlignment="1">
      <alignment horizontal="center" vertical="center" wrapText="1"/>
    </xf>
    <xf numFmtId="0" fontId="7" fillId="0" borderId="4" xfId="0" applyFont="1" applyBorder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164" fontId="5" fillId="2" borderId="1" xfId="0" applyNumberFormat="1" applyFont="1" applyFill="1" applyBorder="1" applyAlignment="1">
      <alignment vertical="top" wrapText="1"/>
    </xf>
    <xf numFmtId="164" fontId="7" fillId="2" borderId="4" xfId="0" applyNumberFormat="1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164" fontId="6" fillId="2" borderId="4" xfId="0" applyNumberFormat="1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left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right" vertical="center" wrapText="1"/>
    </xf>
    <xf numFmtId="165" fontId="10" fillId="2" borderId="0" xfId="1" applyNumberFormat="1" applyFont="1" applyFill="1" applyBorder="1" applyAlignment="1">
      <alignment horizontal="right" vertical="center" wrapText="1"/>
    </xf>
    <xf numFmtId="2" fontId="13" fillId="2" borderId="0" xfId="0" applyNumberFormat="1" applyFont="1" applyFill="1" applyAlignment="1">
      <alignment horizontal="right" vertical="center" wrapText="1"/>
    </xf>
    <xf numFmtId="2" fontId="13" fillId="2" borderId="0" xfId="1" applyNumberFormat="1" applyFont="1" applyFill="1" applyBorder="1" applyAlignment="1">
      <alignment horizontal="right" vertical="center" wrapText="1"/>
    </xf>
    <xf numFmtId="165" fontId="12" fillId="2" borderId="0" xfId="1" applyNumberFormat="1" applyFont="1" applyFill="1" applyAlignment="1">
      <alignment horizontal="right" vertical="center" wrapText="1"/>
    </xf>
    <xf numFmtId="165" fontId="13" fillId="2" borderId="0" xfId="1" applyNumberFormat="1" applyFont="1" applyFill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2" fontId="12" fillId="2" borderId="0" xfId="0" applyNumberFormat="1" applyFont="1" applyFill="1" applyAlignment="1">
      <alignment horizontal="right" vertical="center" wrapText="1"/>
    </xf>
    <xf numFmtId="2" fontId="11" fillId="4" borderId="0" xfId="0" applyNumberFormat="1" applyFont="1" applyFill="1"/>
    <xf numFmtId="2" fontId="11" fillId="4" borderId="0" xfId="1" applyNumberFormat="1" applyFont="1" applyFill="1" applyBorder="1" applyAlignment="1">
      <alignment vertical="center"/>
    </xf>
    <xf numFmtId="2" fontId="11" fillId="4" borderId="0" xfId="1" applyNumberFormat="1" applyFont="1" applyFill="1" applyBorder="1" applyAlignment="1"/>
    <xf numFmtId="165" fontId="11" fillId="4" borderId="0" xfId="1" applyNumberFormat="1" applyFont="1" applyFill="1" applyAlignment="1"/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0" fillId="0" borderId="4" xfId="0" applyBorder="1" applyAlignment="1">
      <alignment vertical="top" wrapText="1"/>
    </xf>
    <xf numFmtId="0" fontId="19" fillId="0" borderId="4" xfId="0" applyFont="1" applyBorder="1" applyAlignment="1">
      <alignment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65" fontId="7" fillId="2" borderId="10" xfId="1" applyNumberFormat="1" applyFont="1" applyFill="1" applyBorder="1" applyAlignment="1">
      <alignment horizontal="center" vertical="center" wrapText="1"/>
    </xf>
    <xf numFmtId="165" fontId="7" fillId="2" borderId="0" xfId="1" applyNumberFormat="1" applyFont="1" applyFill="1" applyBorder="1" applyAlignment="1">
      <alignment horizontal="center" vertical="center" wrapText="1"/>
    </xf>
    <xf numFmtId="165" fontId="7" fillId="2" borderId="13" xfId="1" applyNumberFormat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2" fontId="0" fillId="0" borderId="0" xfId="0" applyNumberFormat="1"/>
    <xf numFmtId="0" fontId="20" fillId="2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6" fillId="0" borderId="21" xfId="0" applyFont="1" applyBorder="1" applyAlignment="1">
      <alignment horizontal="right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right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right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right" vertical="center" wrapText="1"/>
    </xf>
  </cellXfs>
  <cellStyles count="2">
    <cellStyle name="Comma [0]" xfId="1" builtinId="6"/>
    <cellStyle name="Normal" xfId="0" builtinId="0"/>
  </cellStyles>
  <dxfs count="1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9900"/>
      <color rgb="FF333333"/>
      <color rgb="FFFFFFFF"/>
      <color rgb="FF99FF33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500">
                <a:solidFill>
                  <a:schemeClr val="tx1"/>
                </a:solidFill>
              </a:rPr>
              <a:t>Average Number of Players who</a:t>
            </a:r>
            <a:r>
              <a:rPr lang="en-US" sz="1500" baseline="0">
                <a:solidFill>
                  <a:schemeClr val="tx1"/>
                </a:solidFill>
              </a:rPr>
              <a:t> used Catapult</a:t>
            </a:r>
            <a:r>
              <a:rPr lang="en-US" sz="1500">
                <a:solidFill>
                  <a:schemeClr val="tx1"/>
                </a:solidFill>
              </a:rPr>
              <a:t> Per Match Day</a:t>
            </a:r>
          </a:p>
        </c:rich>
      </c:tx>
      <c:layout>
        <c:manualLayout>
          <c:xMode val="edge"/>
          <c:yMode val="edge"/>
          <c:x val="0.12886580005901629"/>
          <c:y val="4.3859649122807015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Sheet4!$E$2</c:f>
              <c:strCache>
                <c:ptCount val="1"/>
                <c:pt idx="0">
                  <c:v>Average Number of Players Per Match Day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b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Sheet4!$D$3:$D$18</c:f>
              <c:strCache>
                <c:ptCount val="16"/>
                <c:pt idx="0">
                  <c:v>Maroons FC</c:v>
                </c:pt>
                <c:pt idx="1">
                  <c:v>URA FC</c:v>
                </c:pt>
                <c:pt idx="2">
                  <c:v>Lugazi FC</c:v>
                </c:pt>
                <c:pt idx="3">
                  <c:v>Wakiso Giants FC</c:v>
                </c:pt>
                <c:pt idx="4">
                  <c:v>Mbarara City FC</c:v>
                </c:pt>
                <c:pt idx="5">
                  <c:v>NEC FC</c:v>
                </c:pt>
                <c:pt idx="6">
                  <c:v>Kitara FC</c:v>
                </c:pt>
                <c:pt idx="7">
                  <c:v>Express FC</c:v>
                </c:pt>
                <c:pt idx="8">
                  <c:v>Vipers SC</c:v>
                </c:pt>
                <c:pt idx="9">
                  <c:v>UPDF FC</c:v>
                </c:pt>
                <c:pt idx="10">
                  <c:v>KCCA FC</c:v>
                </c:pt>
                <c:pt idx="11">
                  <c:v>BUL FC</c:v>
                </c:pt>
                <c:pt idx="12">
                  <c:v>Mbale Heroes FC</c:v>
                </c:pt>
                <c:pt idx="13">
                  <c:v>Police FC</c:v>
                </c:pt>
                <c:pt idx="14">
                  <c:v>Soltilo Bright Stars FC</c:v>
                </c:pt>
                <c:pt idx="15">
                  <c:v>SC Villa</c:v>
                </c:pt>
              </c:strCache>
            </c:strRef>
          </c:cat>
          <c:val>
            <c:numRef>
              <c:f>Sheet4!$E$3:$E$18</c:f>
              <c:numCache>
                <c:formatCode>General</c:formatCode>
                <c:ptCount val="16"/>
                <c:pt idx="0">
                  <c:v>11.2</c:v>
                </c:pt>
                <c:pt idx="1">
                  <c:v>11.16</c:v>
                </c:pt>
                <c:pt idx="2">
                  <c:v>11.066667000000001</c:v>
                </c:pt>
                <c:pt idx="3">
                  <c:v>11.04</c:v>
                </c:pt>
                <c:pt idx="4">
                  <c:v>11.033333000000001</c:v>
                </c:pt>
                <c:pt idx="5">
                  <c:v>10.933332999999999</c:v>
                </c:pt>
                <c:pt idx="6">
                  <c:v>10.571429</c:v>
                </c:pt>
                <c:pt idx="7">
                  <c:v>10.333333</c:v>
                </c:pt>
                <c:pt idx="8">
                  <c:v>9.8965519999999998</c:v>
                </c:pt>
                <c:pt idx="9">
                  <c:v>9.8275860000000002</c:v>
                </c:pt>
                <c:pt idx="10">
                  <c:v>9.5</c:v>
                </c:pt>
                <c:pt idx="11">
                  <c:v>9.1999999999999993</c:v>
                </c:pt>
                <c:pt idx="12">
                  <c:v>8.8333329999999997</c:v>
                </c:pt>
                <c:pt idx="13">
                  <c:v>7.5185190000000004</c:v>
                </c:pt>
                <c:pt idx="14">
                  <c:v>7.5172410000000003</c:v>
                </c:pt>
                <c:pt idx="15">
                  <c:v>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07-4877-8186-0C95999504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48288672"/>
        <c:axId val="248304512"/>
      </c:barChart>
      <c:catAx>
        <c:axId val="24828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G"/>
          </a:p>
        </c:txPr>
        <c:crossAx val="248304512"/>
        <c:crosses val="autoZero"/>
        <c:auto val="1"/>
        <c:lblAlgn val="ctr"/>
        <c:lblOffset val="100"/>
        <c:noMultiLvlLbl val="0"/>
      </c:catAx>
      <c:valAx>
        <c:axId val="24830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G"/>
          </a:p>
        </c:txPr>
        <c:crossAx val="24828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Match</a:t>
            </a:r>
            <a:r>
              <a:rPr lang="en-US" b="1" baseline="0">
                <a:solidFill>
                  <a:schemeClr val="tx1"/>
                </a:solidFill>
              </a:rPr>
              <a:t> Venue Proportion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9831933508311459"/>
          <c:y val="3.2407407407407406E-2"/>
        </c:manualLayout>
      </c:layout>
      <c:overlay val="0"/>
      <c:spPr>
        <a:noFill/>
        <a:ln>
          <a:solidFill>
            <a:schemeClr val="bg1">
              <a:alpha val="93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6F8-4715-AFA3-9FA4F8AB95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6F8-4715-AFA3-9FA4F8AB9509}"/>
              </c:ext>
            </c:extLst>
          </c:dPt>
          <c:dLbls>
            <c:dLbl>
              <c:idx val="0"/>
              <c:layout>
                <c:manualLayout>
                  <c:x val="0.10649627263045786"/>
                  <c:y val="-3.703703703703703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6F8-4715-AFA3-9FA4F8AB9509}"/>
                </c:ext>
              </c:extLst>
            </c:dLbl>
            <c:dLbl>
              <c:idx val="1"/>
              <c:layout>
                <c:manualLayout>
                  <c:x val="-0.11714589989350373"/>
                  <c:y val="-7.8703703703703748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6F8-4715-AFA3-9FA4F8AB95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G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12700" cap="flat" cmpd="sng" algn="ctr">
                  <a:solidFill>
                    <a:schemeClr val="tx1"/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Sheet3!$D$1:$E$1</c:f>
              <c:strCache>
                <c:ptCount val="2"/>
                <c:pt idx="0">
                  <c:v>Away</c:v>
                </c:pt>
                <c:pt idx="1">
                  <c:v>Home</c:v>
                </c:pt>
              </c:strCache>
            </c:strRef>
          </c:cat>
          <c:val>
            <c:numRef>
              <c:f>Sheet3!$D$2:$E$2</c:f>
              <c:numCache>
                <c:formatCode>General</c:formatCode>
                <c:ptCount val="2"/>
                <c:pt idx="0">
                  <c:v>2053</c:v>
                </c:pt>
                <c:pt idx="1">
                  <c:v>1935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Sheet3!#REF!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86F8-4715-AFA3-9FA4F8AB9509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E31-4358-B4BE-344173C0F98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E31-4358-B4BE-344173C0F980}"/>
              </c:ext>
            </c:extLst>
          </c:dPt>
          <c:dLbls>
            <c:delete val="1"/>
          </c:dLbls>
          <c:cat>
            <c:strRef>
              <c:f>Sheet3!$D$1:$E$1</c:f>
              <c:strCache>
                <c:ptCount val="2"/>
                <c:pt idx="0">
                  <c:v>Away</c:v>
                </c:pt>
                <c:pt idx="1">
                  <c:v>Home</c:v>
                </c:pt>
              </c:strCache>
            </c:strRef>
          </c:cat>
          <c:val>
            <c:numRef>
              <c:f>Sheet3!$D$3:$E$3</c:f>
              <c:numCache>
                <c:formatCode>General</c:formatCode>
                <c:ptCount val="2"/>
                <c:pt idx="0">
                  <c:v>51.479438000000002</c:v>
                </c:pt>
                <c:pt idx="1">
                  <c:v>48.520561999999998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Sheet3!#REF!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86F8-4715-AFA3-9FA4F8AB950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10"/>
        <c:holeSize val="65"/>
      </c:doughnut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G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G"/>
          </a:p>
        </c:txPr>
      </c:legendEntry>
      <c:layout>
        <c:manualLayout>
          <c:xMode val="edge"/>
          <c:yMode val="edge"/>
          <c:x val="0.27196128608923881"/>
          <c:y val="0.82465223097112861"/>
          <c:w val="0.422744094488189"/>
          <c:h val="0.14756999125109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Result Proportion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3184472878390201"/>
          <c:y val="0.20580950871074002"/>
          <c:w val="0.36866119860017499"/>
          <c:h val="0.59381669573182549"/>
        </c:manualLayout>
      </c:layout>
      <c:doughnutChart>
        <c:varyColors val="1"/>
        <c:ser>
          <c:idx val="0"/>
          <c:order val="0"/>
          <c:tx>
            <c:strRef>
              <c:f>Sheet3!$J$2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0B1-4944-A8C2-524510F9456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0B1-4944-A8C2-524510F9456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0B1-4944-A8C2-524510F94567}"/>
              </c:ext>
            </c:extLst>
          </c:dPt>
          <c:dLbls>
            <c:delete val="1"/>
          </c:dLbls>
          <c:cat>
            <c:strRef>
              <c:f>Sheet3!$K$1:$M$1</c:f>
              <c:strCache>
                <c:ptCount val="3"/>
                <c:pt idx="0">
                  <c:v>Loss</c:v>
                </c:pt>
                <c:pt idx="1">
                  <c:v>Win</c:v>
                </c:pt>
                <c:pt idx="2">
                  <c:v>Draw</c:v>
                </c:pt>
              </c:strCache>
            </c:strRef>
          </c:cat>
          <c:val>
            <c:numRef>
              <c:f>Sheet3!$K$2:$M$2</c:f>
              <c:numCache>
                <c:formatCode>General</c:formatCode>
                <c:ptCount val="3"/>
                <c:pt idx="0">
                  <c:v>1347</c:v>
                </c:pt>
                <c:pt idx="1">
                  <c:v>1542</c:v>
                </c:pt>
                <c:pt idx="2">
                  <c:v>1099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02-4214-B4BB-9F36C4CF3D08}"/>
            </c:ext>
          </c:extLst>
        </c:ser>
        <c:ser>
          <c:idx val="1"/>
          <c:order val="1"/>
          <c:tx>
            <c:strRef>
              <c:f>Sheet3!$J$3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902-4214-B4BB-9F36C4CF3D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902-4214-B4BB-9F36C4CF3D0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902-4214-B4BB-9F36C4CF3D08}"/>
              </c:ext>
            </c:extLst>
          </c:dPt>
          <c:dLbls>
            <c:dLbl>
              <c:idx val="0"/>
              <c:layout>
                <c:manualLayout>
                  <c:x val="0.1"/>
                  <c:y val="-5.26315789473684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902-4214-B4BB-9F36C4CF3D08}"/>
                </c:ext>
              </c:extLst>
            </c:dLbl>
            <c:dLbl>
              <c:idx val="1"/>
              <c:layout>
                <c:manualLayout>
                  <c:x val="-6.3888888888888884E-2"/>
                  <c:y val="8.7719298245613878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902-4214-B4BB-9F36C4CF3D08}"/>
                </c:ext>
              </c:extLst>
            </c:dLbl>
            <c:dLbl>
              <c:idx val="2"/>
              <c:layout>
                <c:manualLayout>
                  <c:x val="-0.11944444444444446"/>
                  <c:y val="-6.140350877192986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902-4214-B4BB-9F36C4CF3D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G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ysClr val="windowText" lastClr="000000"/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Sheet3!$K$1:$M$1</c:f>
              <c:strCache>
                <c:ptCount val="3"/>
                <c:pt idx="0">
                  <c:v>Loss</c:v>
                </c:pt>
                <c:pt idx="1">
                  <c:v>Win</c:v>
                </c:pt>
                <c:pt idx="2">
                  <c:v>Draw</c:v>
                </c:pt>
              </c:strCache>
            </c:strRef>
          </c:cat>
          <c:val>
            <c:numRef>
              <c:f>Sheet3!$K$3:$M$3</c:f>
              <c:numCache>
                <c:formatCode>General</c:formatCode>
                <c:ptCount val="3"/>
                <c:pt idx="0">
                  <c:v>33.776328999999997</c:v>
                </c:pt>
                <c:pt idx="1">
                  <c:v>38.665998000000002</c:v>
                </c:pt>
                <c:pt idx="2">
                  <c:v>27.557673000000001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02-4214-B4BB-9F36C4CF3D0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7660301837270345"/>
          <c:y val="0.80369074671035245"/>
          <c:w val="0.38012707786526678"/>
          <c:h val="0.124720886399267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304800</xdr:colOff>
      <xdr:row>3</xdr:row>
      <xdr:rowOff>142875</xdr:rowOff>
    </xdr:from>
    <xdr:to>
      <xdr:col>22</xdr:col>
      <xdr:colOff>180976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364559-6980-1A73-C071-F005BD94E0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104775</xdr:rowOff>
    </xdr:from>
    <xdr:to>
      <xdr:col>8</xdr:col>
      <xdr:colOff>0</xdr:colOff>
      <xdr:row>17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A61A6DE-BE45-7FFB-D46E-AA29742747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</xdr:row>
      <xdr:rowOff>85725</xdr:rowOff>
    </xdr:from>
    <xdr:to>
      <xdr:col>17</xdr:col>
      <xdr:colOff>485775</xdr:colOff>
      <xdr:row>18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21FA8C-368D-A31C-B10C-B93711E98E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45870-A0AA-46C1-A763-5CF116F4A4C5}">
  <dimension ref="B2:V247"/>
  <sheetViews>
    <sheetView topLeftCell="A11" workbookViewId="0">
      <selection activeCell="J235" sqref="J235"/>
    </sheetView>
  </sheetViews>
  <sheetFormatPr defaultRowHeight="15" x14ac:dyDescent="0.25"/>
  <cols>
    <col min="2" max="2" width="17.42578125" customWidth="1"/>
    <col min="4" max="4" width="24.42578125" customWidth="1"/>
    <col min="5" max="5" width="21" customWidth="1"/>
    <col min="6" max="6" width="9.85546875" bestFit="1" customWidth="1"/>
    <col min="8" max="8" width="14" customWidth="1"/>
    <col min="9" max="9" width="14.28515625" customWidth="1"/>
    <col min="10" max="10" width="21.85546875" customWidth="1"/>
    <col min="11" max="11" width="9.85546875" customWidth="1"/>
    <col min="12" max="12" width="19.28515625" customWidth="1"/>
    <col min="13" max="13" width="7.42578125" customWidth="1"/>
    <col min="14" max="15" width="11.85546875" customWidth="1"/>
    <col min="16" max="16" width="7.42578125" customWidth="1"/>
    <col min="17" max="17" width="6.5703125" customWidth="1"/>
    <col min="18" max="18" width="7.7109375" customWidth="1"/>
    <col min="19" max="19" width="7" customWidth="1"/>
    <col min="20" max="20" width="6.28515625" customWidth="1"/>
    <col min="21" max="21" width="10.85546875" customWidth="1"/>
    <col min="22" max="22" width="12.28515625" customWidth="1"/>
  </cols>
  <sheetData>
    <row r="2" spans="8:22" ht="33.75" x14ac:dyDescent="0.25">
      <c r="H2" s="50" t="s">
        <v>0</v>
      </c>
      <c r="I2" s="51" t="s">
        <v>1</v>
      </c>
      <c r="J2" s="51" t="s">
        <v>2</v>
      </c>
      <c r="K2" s="51" t="s">
        <v>3</v>
      </c>
      <c r="L2" s="51" t="s">
        <v>4</v>
      </c>
      <c r="M2" s="51" t="s">
        <v>5</v>
      </c>
      <c r="N2" s="51" t="s">
        <v>99</v>
      </c>
      <c r="O2" s="51" t="s">
        <v>100</v>
      </c>
      <c r="P2" s="50" t="s">
        <v>6</v>
      </c>
      <c r="Q2" s="51" t="s">
        <v>7</v>
      </c>
      <c r="R2" s="51" t="s">
        <v>138</v>
      </c>
      <c r="S2" s="51" t="s">
        <v>190</v>
      </c>
      <c r="T2" s="51" t="s">
        <v>9</v>
      </c>
      <c r="U2" s="51" t="s">
        <v>97</v>
      </c>
      <c r="V2" s="51" t="s">
        <v>98</v>
      </c>
    </row>
    <row r="3" spans="8:22" x14ac:dyDescent="0.25">
      <c r="H3" s="53" t="s">
        <v>10</v>
      </c>
      <c r="I3" s="52">
        <v>9.0299999999999994</v>
      </c>
      <c r="J3" s="52">
        <v>955.2</v>
      </c>
      <c r="K3" s="52">
        <v>67.31</v>
      </c>
      <c r="L3" s="52">
        <v>1109.3699999999999</v>
      </c>
      <c r="M3" s="52">
        <v>7.03</v>
      </c>
      <c r="N3" s="52">
        <v>425.75</v>
      </c>
      <c r="O3" s="52">
        <v>408.53</v>
      </c>
      <c r="P3" s="52">
        <v>416.08</v>
      </c>
      <c r="Q3" s="52">
        <v>29.6</v>
      </c>
      <c r="R3" s="52">
        <v>91.57</v>
      </c>
      <c r="S3" s="52">
        <v>14.86</v>
      </c>
      <c r="T3" s="52">
        <v>77.3</v>
      </c>
      <c r="U3" s="52">
        <v>4.32</v>
      </c>
      <c r="V3" s="52">
        <v>4.1399999999999997</v>
      </c>
    </row>
    <row r="4" spans="8:22" x14ac:dyDescent="0.25">
      <c r="H4" s="54" t="s">
        <v>11</v>
      </c>
      <c r="I4" s="52">
        <v>8.81</v>
      </c>
      <c r="J4" s="52">
        <v>938.36</v>
      </c>
      <c r="K4" s="52">
        <v>65.59</v>
      </c>
      <c r="L4" s="52">
        <v>1075.1600000000001</v>
      </c>
      <c r="M4" s="52">
        <v>6.53</v>
      </c>
      <c r="N4" s="52">
        <v>404.28</v>
      </c>
      <c r="O4" s="52">
        <v>388.54</v>
      </c>
      <c r="P4" s="52">
        <v>404.6</v>
      </c>
      <c r="Q4" s="52">
        <v>29.89</v>
      </c>
      <c r="R4" s="52">
        <v>89.65</v>
      </c>
      <c r="S4" s="52">
        <v>14.49</v>
      </c>
      <c r="T4" s="52">
        <v>74.61</v>
      </c>
      <c r="U4" s="52">
        <v>4.1100000000000003</v>
      </c>
      <c r="V4" s="52">
        <v>3.95</v>
      </c>
    </row>
    <row r="5" spans="8:22" x14ac:dyDescent="0.25">
      <c r="H5" s="54" t="s">
        <v>12</v>
      </c>
      <c r="I5" s="52">
        <v>8.94</v>
      </c>
      <c r="J5" s="52">
        <v>861.72</v>
      </c>
      <c r="K5" s="52">
        <v>62.44</v>
      </c>
      <c r="L5" s="52">
        <v>1089.3900000000001</v>
      </c>
      <c r="M5" s="52">
        <v>6.54</v>
      </c>
      <c r="N5" s="52">
        <v>428.58</v>
      </c>
      <c r="O5" s="52">
        <v>412.07</v>
      </c>
      <c r="P5" s="52">
        <v>412.73</v>
      </c>
      <c r="Q5" s="52">
        <v>29.76</v>
      </c>
      <c r="R5" s="52">
        <v>89.7</v>
      </c>
      <c r="S5" s="52">
        <v>14.43</v>
      </c>
      <c r="T5" s="52">
        <v>75.28</v>
      </c>
      <c r="U5" s="52">
        <v>4.3099999999999996</v>
      </c>
      <c r="V5" s="52">
        <v>4.1399999999999997</v>
      </c>
    </row>
    <row r="6" spans="8:22" x14ac:dyDescent="0.25">
      <c r="H6" s="54" t="s">
        <v>13</v>
      </c>
      <c r="I6" s="52">
        <v>8.7100000000000009</v>
      </c>
      <c r="J6" s="52">
        <v>849.41</v>
      </c>
      <c r="K6" s="52">
        <v>61.06</v>
      </c>
      <c r="L6" s="52">
        <v>1064.95</v>
      </c>
      <c r="M6" s="52">
        <v>7.14</v>
      </c>
      <c r="N6" s="52">
        <v>417.19</v>
      </c>
      <c r="O6" s="52">
        <v>401.17</v>
      </c>
      <c r="P6" s="52">
        <v>401.1</v>
      </c>
      <c r="Q6" s="52">
        <v>29.68</v>
      </c>
      <c r="R6" s="52">
        <v>88.03</v>
      </c>
      <c r="S6" s="52">
        <v>14.23</v>
      </c>
      <c r="T6" s="52">
        <v>73.77</v>
      </c>
      <c r="U6" s="52">
        <v>4.22</v>
      </c>
      <c r="V6" s="52">
        <v>4.0599999999999996</v>
      </c>
    </row>
    <row r="7" spans="8:22" x14ac:dyDescent="0.25">
      <c r="H7" s="54" t="s">
        <v>14</v>
      </c>
      <c r="I7" s="52">
        <v>9.0299999999999994</v>
      </c>
      <c r="J7" s="52">
        <v>904.58</v>
      </c>
      <c r="K7" s="52">
        <v>65.56</v>
      </c>
      <c r="L7" s="52">
        <v>1108.02</v>
      </c>
      <c r="M7" s="52">
        <v>6.89</v>
      </c>
      <c r="N7" s="52">
        <v>435.03</v>
      </c>
      <c r="O7" s="52">
        <v>418.34</v>
      </c>
      <c r="P7" s="52">
        <v>416.54</v>
      </c>
      <c r="Q7" s="52">
        <v>29.6</v>
      </c>
      <c r="R7" s="52">
        <v>91.65</v>
      </c>
      <c r="S7" s="52">
        <v>14.8</v>
      </c>
      <c r="T7" s="52">
        <v>77.16</v>
      </c>
      <c r="U7" s="52">
        <v>4.41</v>
      </c>
      <c r="V7" s="52">
        <v>4.25</v>
      </c>
    </row>
    <row r="8" spans="8:22" x14ac:dyDescent="0.25">
      <c r="H8" s="54" t="s">
        <v>15</v>
      </c>
      <c r="I8" s="52">
        <v>8.56</v>
      </c>
      <c r="J8" s="52">
        <v>815.96</v>
      </c>
      <c r="K8" s="52">
        <v>57.62</v>
      </c>
      <c r="L8" s="52">
        <v>1043.4000000000001</v>
      </c>
      <c r="M8" s="52">
        <v>6.16</v>
      </c>
      <c r="N8" s="52">
        <v>395.71</v>
      </c>
      <c r="O8" s="52">
        <v>378.77</v>
      </c>
      <c r="P8" s="52">
        <v>394.57</v>
      </c>
      <c r="Q8" s="52">
        <v>29.65</v>
      </c>
      <c r="R8" s="52">
        <v>86.82</v>
      </c>
      <c r="S8" s="52">
        <v>13.85</v>
      </c>
      <c r="T8" s="52">
        <v>72.39</v>
      </c>
      <c r="U8" s="52">
        <v>4.01</v>
      </c>
      <c r="V8" s="52">
        <v>3.84</v>
      </c>
    </row>
    <row r="9" spans="8:22" x14ac:dyDescent="0.25">
      <c r="H9" s="54" t="s">
        <v>16</v>
      </c>
      <c r="I9" s="52">
        <v>8.4499999999999993</v>
      </c>
      <c r="J9" s="52">
        <v>827.72</v>
      </c>
      <c r="K9" s="52">
        <v>59.48</v>
      </c>
      <c r="L9" s="52">
        <v>1035.5899999999999</v>
      </c>
      <c r="M9" s="52">
        <v>5.85</v>
      </c>
      <c r="N9" s="52">
        <v>391.95</v>
      </c>
      <c r="O9" s="52">
        <v>376.18</v>
      </c>
      <c r="P9" s="52">
        <v>386.72</v>
      </c>
      <c r="Q9" s="52">
        <v>29.52</v>
      </c>
      <c r="R9" s="52">
        <v>84.73</v>
      </c>
      <c r="S9" s="52">
        <v>13.61</v>
      </c>
      <c r="T9" s="52">
        <v>70.89</v>
      </c>
      <c r="U9" s="52">
        <v>3.93</v>
      </c>
      <c r="V9" s="52">
        <v>3.77</v>
      </c>
    </row>
    <row r="10" spans="8:22" x14ac:dyDescent="0.25">
      <c r="H10" s="54" t="s">
        <v>17</v>
      </c>
      <c r="I10" s="52">
        <v>8.67</v>
      </c>
      <c r="J10" s="52">
        <v>897.87</v>
      </c>
      <c r="K10" s="52">
        <v>62.63</v>
      </c>
      <c r="L10" s="52">
        <v>1064.69</v>
      </c>
      <c r="M10" s="52">
        <v>6.84</v>
      </c>
      <c r="N10" s="52">
        <v>407.53</v>
      </c>
      <c r="O10" s="52">
        <v>391.38</v>
      </c>
      <c r="P10" s="52">
        <v>399.25</v>
      </c>
      <c r="Q10" s="52">
        <v>29.73</v>
      </c>
      <c r="R10" s="52">
        <v>86.95</v>
      </c>
      <c r="S10" s="52">
        <v>14.05</v>
      </c>
      <c r="T10" s="52">
        <v>72.38</v>
      </c>
      <c r="U10" s="52">
        <v>4.08</v>
      </c>
      <c r="V10" s="52">
        <v>3.92</v>
      </c>
    </row>
    <row r="11" spans="8:22" x14ac:dyDescent="0.25">
      <c r="H11" s="54" t="s">
        <v>18</v>
      </c>
      <c r="I11" s="52">
        <v>8.81</v>
      </c>
      <c r="J11" s="52">
        <v>887.07</v>
      </c>
      <c r="K11" s="52">
        <v>61.41</v>
      </c>
      <c r="L11" s="52">
        <v>1080.68</v>
      </c>
      <c r="M11" s="52">
        <v>6.41</v>
      </c>
      <c r="N11" s="52">
        <v>414.52</v>
      </c>
      <c r="O11" s="52">
        <v>396.86</v>
      </c>
      <c r="P11" s="52">
        <v>400.43</v>
      </c>
      <c r="Q11" s="52">
        <v>29.54</v>
      </c>
      <c r="R11" s="52">
        <v>89.27</v>
      </c>
      <c r="S11" s="52">
        <v>14.38</v>
      </c>
      <c r="T11" s="52">
        <v>74.040000000000006</v>
      </c>
      <c r="U11" s="52">
        <v>4.2</v>
      </c>
      <c r="V11" s="52">
        <v>4.0199999999999996</v>
      </c>
    </row>
    <row r="12" spans="8:22" x14ac:dyDescent="0.25">
      <c r="H12" s="54" t="s">
        <v>19</v>
      </c>
      <c r="I12" s="52">
        <v>8.6300000000000008</v>
      </c>
      <c r="J12" s="52">
        <v>824.73</v>
      </c>
      <c r="K12" s="52">
        <v>61.61</v>
      </c>
      <c r="L12" s="52">
        <v>1060.76</v>
      </c>
      <c r="M12" s="52">
        <v>6.61</v>
      </c>
      <c r="N12" s="52">
        <v>411.66</v>
      </c>
      <c r="O12" s="52">
        <v>395.73</v>
      </c>
      <c r="P12" s="52">
        <v>396.62</v>
      </c>
      <c r="Q12" s="52">
        <v>29.57</v>
      </c>
      <c r="R12" s="52">
        <v>88.67</v>
      </c>
      <c r="S12" s="52">
        <v>14.33</v>
      </c>
      <c r="T12" s="52">
        <v>74.180000000000007</v>
      </c>
      <c r="U12" s="52">
        <v>4.2300000000000004</v>
      </c>
      <c r="V12" s="52">
        <v>4.07</v>
      </c>
    </row>
    <row r="13" spans="8:22" x14ac:dyDescent="0.25">
      <c r="H13" s="54" t="s">
        <v>20</v>
      </c>
      <c r="I13" s="52">
        <v>8.2799999999999994</v>
      </c>
      <c r="J13" s="52">
        <v>792.77</v>
      </c>
      <c r="K13" s="52">
        <v>58.47</v>
      </c>
      <c r="L13" s="52">
        <v>1013.13</v>
      </c>
      <c r="M13" s="52">
        <v>5.95</v>
      </c>
      <c r="N13" s="52">
        <v>383.33</v>
      </c>
      <c r="O13" s="52">
        <v>367.24</v>
      </c>
      <c r="P13" s="52">
        <v>378.29</v>
      </c>
      <c r="Q13" s="52">
        <v>29.77</v>
      </c>
      <c r="R13" s="52">
        <v>84.53</v>
      </c>
      <c r="S13" s="52">
        <v>13.63</v>
      </c>
      <c r="T13" s="52">
        <v>70.27</v>
      </c>
      <c r="U13" s="52">
        <v>3.91</v>
      </c>
      <c r="V13" s="52">
        <v>3.75</v>
      </c>
    </row>
    <row r="14" spans="8:22" x14ac:dyDescent="0.25">
      <c r="H14" s="54" t="s">
        <v>21</v>
      </c>
      <c r="I14" s="52">
        <v>8.92</v>
      </c>
      <c r="J14" s="52">
        <v>934.7</v>
      </c>
      <c r="K14" s="52">
        <v>62.81</v>
      </c>
      <c r="L14" s="52">
        <v>1089.6199999999999</v>
      </c>
      <c r="M14" s="52">
        <v>6.66</v>
      </c>
      <c r="N14" s="52">
        <v>406.06</v>
      </c>
      <c r="O14" s="52">
        <v>386.95</v>
      </c>
      <c r="P14" s="52">
        <v>405.53</v>
      </c>
      <c r="Q14" s="52">
        <v>30.08</v>
      </c>
      <c r="R14" s="52">
        <v>90.46</v>
      </c>
      <c r="S14" s="52">
        <v>14.53</v>
      </c>
      <c r="T14" s="52">
        <v>75.27</v>
      </c>
      <c r="U14" s="52">
        <v>4.12</v>
      </c>
      <c r="V14" s="52">
        <v>3.93</v>
      </c>
    </row>
    <row r="15" spans="8:22" x14ac:dyDescent="0.25">
      <c r="H15" s="54" t="s">
        <v>22</v>
      </c>
      <c r="I15" s="52">
        <v>8.5500000000000007</v>
      </c>
      <c r="J15" s="52">
        <v>873.46</v>
      </c>
      <c r="K15" s="52">
        <v>61.55</v>
      </c>
      <c r="L15" s="52">
        <v>1041.6400000000001</v>
      </c>
      <c r="M15" s="52">
        <v>6.24</v>
      </c>
      <c r="N15" s="52">
        <v>389.87</v>
      </c>
      <c r="O15" s="52">
        <v>373.68</v>
      </c>
      <c r="P15" s="52">
        <v>389.45</v>
      </c>
      <c r="Q15" s="52">
        <v>29.52</v>
      </c>
      <c r="R15" s="52">
        <v>88.22</v>
      </c>
      <c r="S15" s="52">
        <v>14.18</v>
      </c>
      <c r="T15" s="52">
        <v>73.77</v>
      </c>
      <c r="U15" s="52">
        <v>4.0199999999999996</v>
      </c>
      <c r="V15" s="52">
        <v>3.85</v>
      </c>
    </row>
    <row r="16" spans="8:22" x14ac:dyDescent="0.25">
      <c r="H16" s="54" t="s">
        <v>23</v>
      </c>
      <c r="I16" s="52">
        <v>8.69</v>
      </c>
      <c r="J16" s="52">
        <v>934.08</v>
      </c>
      <c r="K16" s="52">
        <v>62.46</v>
      </c>
      <c r="L16" s="52">
        <v>1063.9100000000001</v>
      </c>
      <c r="M16" s="52">
        <v>6.36</v>
      </c>
      <c r="N16" s="52">
        <v>394.65</v>
      </c>
      <c r="O16" s="52">
        <v>379.14</v>
      </c>
      <c r="P16" s="52">
        <v>395.69</v>
      </c>
      <c r="Q16" s="52">
        <v>29.79</v>
      </c>
      <c r="R16" s="52">
        <v>88.17</v>
      </c>
      <c r="S16" s="52">
        <v>14.2</v>
      </c>
      <c r="T16" s="52">
        <v>73.349999999999994</v>
      </c>
      <c r="U16" s="52">
        <v>4</v>
      </c>
      <c r="V16" s="52">
        <v>3.85</v>
      </c>
    </row>
    <row r="17" spans="8:22" x14ac:dyDescent="0.25">
      <c r="H17" s="54" t="s">
        <v>24</v>
      </c>
      <c r="I17" s="52">
        <v>8.24</v>
      </c>
      <c r="J17" s="52">
        <v>817.18</v>
      </c>
      <c r="K17" s="52">
        <v>60.21</v>
      </c>
      <c r="L17" s="52">
        <v>1009.15</v>
      </c>
      <c r="M17" s="52">
        <v>6.01</v>
      </c>
      <c r="N17" s="52">
        <v>389.35</v>
      </c>
      <c r="O17" s="52">
        <v>374.89</v>
      </c>
      <c r="P17" s="52">
        <v>382.14</v>
      </c>
      <c r="Q17" s="52">
        <v>29.5</v>
      </c>
      <c r="R17" s="52">
        <v>85.17</v>
      </c>
      <c r="S17" s="52">
        <v>13.77</v>
      </c>
      <c r="T17" s="52">
        <v>71.239999999999995</v>
      </c>
      <c r="U17" s="52">
        <v>4.0199999999999996</v>
      </c>
      <c r="V17" s="52">
        <v>3.88</v>
      </c>
    </row>
    <row r="18" spans="8:22" x14ac:dyDescent="0.25">
      <c r="H18" s="54" t="s">
        <v>25</v>
      </c>
      <c r="I18" s="52">
        <v>8.3800000000000008</v>
      </c>
      <c r="J18" s="52">
        <v>873.39</v>
      </c>
      <c r="K18" s="52">
        <v>59.54</v>
      </c>
      <c r="L18" s="52">
        <v>1027.94</v>
      </c>
      <c r="M18" s="52">
        <v>7.17</v>
      </c>
      <c r="N18" s="52">
        <v>379.36</v>
      </c>
      <c r="O18" s="52">
        <v>362.65</v>
      </c>
      <c r="P18" s="52">
        <v>389.34</v>
      </c>
      <c r="Q18" s="52">
        <v>29.94</v>
      </c>
      <c r="R18" s="52">
        <v>86.17</v>
      </c>
      <c r="S18" s="52">
        <v>13.84</v>
      </c>
      <c r="T18" s="52">
        <v>71.17</v>
      </c>
      <c r="U18" s="52">
        <v>3.9</v>
      </c>
      <c r="V18" s="52">
        <v>3.73</v>
      </c>
    </row>
    <row r="19" spans="8:22" x14ac:dyDescent="0.25">
      <c r="H19" s="54" t="s">
        <v>26</v>
      </c>
      <c r="I19" s="52">
        <v>8</v>
      </c>
      <c r="J19" s="52">
        <v>815.48</v>
      </c>
      <c r="K19" s="52">
        <v>56.82</v>
      </c>
      <c r="L19" s="52">
        <v>984.61</v>
      </c>
      <c r="M19" s="52">
        <v>5.79</v>
      </c>
      <c r="N19" s="52">
        <v>370.12</v>
      </c>
      <c r="O19" s="52">
        <v>354.87</v>
      </c>
      <c r="P19" s="52">
        <v>371.15</v>
      </c>
      <c r="Q19" s="52">
        <v>29.72</v>
      </c>
      <c r="R19" s="52">
        <v>82.22</v>
      </c>
      <c r="S19" s="52">
        <v>13.26</v>
      </c>
      <c r="T19" s="52">
        <v>68</v>
      </c>
      <c r="U19" s="52">
        <v>3.8</v>
      </c>
      <c r="V19" s="52">
        <v>3.65</v>
      </c>
    </row>
    <row r="20" spans="8:22" x14ac:dyDescent="0.25">
      <c r="H20" s="54" t="s">
        <v>27</v>
      </c>
      <c r="I20" s="52">
        <v>8.06</v>
      </c>
      <c r="J20" s="52">
        <v>812.08</v>
      </c>
      <c r="K20" s="52">
        <v>57.04</v>
      </c>
      <c r="L20" s="52">
        <v>985.38</v>
      </c>
      <c r="M20" s="52">
        <v>5.78</v>
      </c>
      <c r="N20" s="52">
        <v>364.81</v>
      </c>
      <c r="O20" s="52">
        <v>351.98</v>
      </c>
      <c r="P20" s="52">
        <v>372.64</v>
      </c>
      <c r="Q20" s="52">
        <v>29.81</v>
      </c>
      <c r="R20" s="52">
        <v>82.26</v>
      </c>
      <c r="S20" s="52">
        <v>13.19</v>
      </c>
      <c r="T20" s="52">
        <v>67.53</v>
      </c>
      <c r="U20" s="52">
        <v>3.72</v>
      </c>
      <c r="V20" s="52">
        <v>3.59</v>
      </c>
    </row>
    <row r="21" spans="8:22" x14ac:dyDescent="0.25">
      <c r="H21" s="54" t="s">
        <v>28</v>
      </c>
      <c r="I21" s="52">
        <v>8.49</v>
      </c>
      <c r="J21" s="52">
        <v>817.45</v>
      </c>
      <c r="K21" s="52">
        <v>58.76</v>
      </c>
      <c r="L21" s="52">
        <v>1041.0899999999999</v>
      </c>
      <c r="M21" s="52">
        <v>6.32</v>
      </c>
      <c r="N21" s="52">
        <v>393.79</v>
      </c>
      <c r="O21" s="52">
        <v>377.2</v>
      </c>
      <c r="P21" s="52">
        <v>390.89</v>
      </c>
      <c r="Q21" s="52">
        <v>29.32</v>
      </c>
      <c r="R21" s="52">
        <v>85.81</v>
      </c>
      <c r="S21" s="52">
        <v>13.79</v>
      </c>
      <c r="T21" s="52">
        <v>71.5</v>
      </c>
      <c r="U21" s="52">
        <v>3.98</v>
      </c>
      <c r="V21" s="52">
        <v>3.81</v>
      </c>
    </row>
    <row r="22" spans="8:22" x14ac:dyDescent="0.25">
      <c r="H22" s="54" t="s">
        <v>29</v>
      </c>
      <c r="I22" s="52">
        <v>8.26</v>
      </c>
      <c r="J22" s="52">
        <v>772.21</v>
      </c>
      <c r="K22" s="52">
        <v>56.08</v>
      </c>
      <c r="L22" s="52">
        <v>1004.81</v>
      </c>
      <c r="M22" s="52">
        <v>7.05</v>
      </c>
      <c r="N22" s="52">
        <v>378.41</v>
      </c>
      <c r="O22" s="52">
        <v>363.79</v>
      </c>
      <c r="P22" s="52">
        <v>383.61</v>
      </c>
      <c r="Q22" s="52">
        <v>29.11</v>
      </c>
      <c r="R22" s="52">
        <v>83.36</v>
      </c>
      <c r="S22" s="52">
        <v>13.31</v>
      </c>
      <c r="T22" s="52">
        <v>69.739999999999995</v>
      </c>
      <c r="U22" s="52">
        <v>3.82</v>
      </c>
      <c r="V22" s="52">
        <v>3.67</v>
      </c>
    </row>
    <row r="23" spans="8:22" x14ac:dyDescent="0.25">
      <c r="H23" s="54" t="s">
        <v>30</v>
      </c>
      <c r="I23" s="52">
        <v>7.76</v>
      </c>
      <c r="J23" s="52">
        <v>748.78</v>
      </c>
      <c r="K23" s="52">
        <v>54.83</v>
      </c>
      <c r="L23" s="52">
        <v>953.58</v>
      </c>
      <c r="M23" s="52">
        <v>5.46</v>
      </c>
      <c r="N23" s="52">
        <v>368.48</v>
      </c>
      <c r="O23" s="52">
        <v>352.54</v>
      </c>
      <c r="P23" s="52">
        <v>359.86</v>
      </c>
      <c r="Q23" s="52">
        <v>29.19</v>
      </c>
      <c r="R23" s="52">
        <v>79.61</v>
      </c>
      <c r="S23" s="52">
        <v>12.81</v>
      </c>
      <c r="T23" s="52">
        <v>66.44</v>
      </c>
      <c r="U23" s="52">
        <v>3.78</v>
      </c>
      <c r="V23" s="52">
        <v>3.62</v>
      </c>
    </row>
    <row r="24" spans="8:22" x14ac:dyDescent="0.25">
      <c r="H24" s="54" t="s">
        <v>31</v>
      </c>
      <c r="I24" s="52">
        <v>8.83</v>
      </c>
      <c r="J24" s="52">
        <v>854.94</v>
      </c>
      <c r="K24" s="52">
        <v>59.84</v>
      </c>
      <c r="L24" s="52">
        <v>1075.24</v>
      </c>
      <c r="M24" s="52">
        <v>6.17</v>
      </c>
      <c r="N24" s="52">
        <v>409.94</v>
      </c>
      <c r="O24" s="52">
        <v>393.47</v>
      </c>
      <c r="P24" s="52">
        <v>402.05</v>
      </c>
      <c r="Q24" s="52">
        <v>29.53</v>
      </c>
      <c r="R24" s="52">
        <v>90.5</v>
      </c>
      <c r="S24" s="52">
        <v>14.48</v>
      </c>
      <c r="T24" s="52">
        <v>76.36</v>
      </c>
      <c r="U24" s="52">
        <v>4.2</v>
      </c>
      <c r="V24" s="52">
        <v>4.03</v>
      </c>
    </row>
    <row r="25" spans="8:22" x14ac:dyDescent="0.25">
      <c r="H25" s="54" t="s">
        <v>32</v>
      </c>
      <c r="I25" s="52">
        <v>8.4</v>
      </c>
      <c r="J25" s="52">
        <v>773.26</v>
      </c>
      <c r="K25" s="52">
        <v>58.46</v>
      </c>
      <c r="L25" s="52">
        <v>1031.02</v>
      </c>
      <c r="M25" s="52">
        <v>6.61</v>
      </c>
      <c r="N25" s="52">
        <v>396.15</v>
      </c>
      <c r="O25" s="52">
        <v>380.08</v>
      </c>
      <c r="P25" s="52">
        <v>389.1</v>
      </c>
      <c r="Q25" s="52">
        <v>28.94</v>
      </c>
      <c r="R25" s="52">
        <v>83.99</v>
      </c>
      <c r="S25" s="52">
        <v>13.49</v>
      </c>
      <c r="T25" s="52">
        <v>69.45</v>
      </c>
      <c r="U25" s="52">
        <v>3.96</v>
      </c>
      <c r="V25" s="52">
        <v>3.8</v>
      </c>
    </row>
    <row r="26" spans="8:22" x14ac:dyDescent="0.25">
      <c r="H26" s="54" t="s">
        <v>33</v>
      </c>
      <c r="I26" s="52">
        <v>8.3000000000000007</v>
      </c>
      <c r="J26" s="52">
        <v>794.85</v>
      </c>
      <c r="K26" s="52">
        <v>56.63</v>
      </c>
      <c r="L26" s="52">
        <v>1017.8</v>
      </c>
      <c r="M26" s="52">
        <v>6.41</v>
      </c>
      <c r="N26" s="52">
        <v>384.45</v>
      </c>
      <c r="O26" s="52">
        <v>370.2</v>
      </c>
      <c r="P26" s="52">
        <v>381.2</v>
      </c>
      <c r="Q26" s="52">
        <v>29.29</v>
      </c>
      <c r="R26" s="52">
        <v>85.46</v>
      </c>
      <c r="S26" s="52">
        <v>13.73</v>
      </c>
      <c r="T26" s="52">
        <v>71.13</v>
      </c>
      <c r="U26" s="52">
        <v>3.96</v>
      </c>
      <c r="V26" s="52">
        <v>3.81</v>
      </c>
    </row>
    <row r="27" spans="8:22" x14ac:dyDescent="0.25">
      <c r="H27" s="54" t="s">
        <v>34</v>
      </c>
      <c r="I27" s="52">
        <v>8.48</v>
      </c>
      <c r="J27" s="52">
        <v>816.59</v>
      </c>
      <c r="K27" s="52">
        <v>60.11</v>
      </c>
      <c r="L27" s="52">
        <v>1035.53</v>
      </c>
      <c r="M27" s="52">
        <v>6.58</v>
      </c>
      <c r="N27" s="52">
        <v>399.94</v>
      </c>
      <c r="O27" s="52">
        <v>383.06</v>
      </c>
      <c r="P27" s="52">
        <v>388.72</v>
      </c>
      <c r="Q27" s="52">
        <v>29.42</v>
      </c>
      <c r="R27" s="52">
        <v>86.62</v>
      </c>
      <c r="S27" s="52">
        <v>13.87</v>
      </c>
      <c r="T27" s="52">
        <v>72.45</v>
      </c>
      <c r="U27" s="52">
        <v>4.09</v>
      </c>
      <c r="V27" s="52">
        <v>3.91</v>
      </c>
    </row>
    <row r="28" spans="8:22" x14ac:dyDescent="0.25">
      <c r="H28" s="54" t="s">
        <v>35</v>
      </c>
      <c r="I28" s="52">
        <v>8.24</v>
      </c>
      <c r="J28" s="52">
        <v>799.77</v>
      </c>
      <c r="K28" s="52">
        <v>58.76</v>
      </c>
      <c r="L28" s="52">
        <v>1005.66</v>
      </c>
      <c r="M28" s="52">
        <v>5.54</v>
      </c>
      <c r="N28" s="52">
        <v>388.15</v>
      </c>
      <c r="O28" s="52">
        <v>372.93</v>
      </c>
      <c r="P28" s="52">
        <v>378.38</v>
      </c>
      <c r="Q28" s="52">
        <v>29.71</v>
      </c>
      <c r="R28" s="52">
        <v>85.04</v>
      </c>
      <c r="S28" s="52">
        <v>13.7</v>
      </c>
      <c r="T28" s="52">
        <v>71.19</v>
      </c>
      <c r="U28" s="52">
        <v>4</v>
      </c>
      <c r="V28" s="52">
        <v>3.85</v>
      </c>
    </row>
    <row r="29" spans="8:22" x14ac:dyDescent="0.25">
      <c r="H29" s="54" t="s">
        <v>36</v>
      </c>
      <c r="I29" s="52">
        <v>8.6300000000000008</v>
      </c>
      <c r="J29" s="52">
        <v>913.33</v>
      </c>
      <c r="K29" s="52">
        <v>64.08</v>
      </c>
      <c r="L29" s="52">
        <v>1058.3599999999999</v>
      </c>
      <c r="M29" s="52">
        <v>5.97</v>
      </c>
      <c r="N29" s="52">
        <v>404.06</v>
      </c>
      <c r="O29" s="52">
        <v>388.52</v>
      </c>
      <c r="P29" s="52">
        <v>392.95</v>
      </c>
      <c r="Q29" s="52">
        <v>29.37</v>
      </c>
      <c r="R29" s="52">
        <v>89.36</v>
      </c>
      <c r="S29" s="52">
        <v>14.37</v>
      </c>
      <c r="T29" s="52">
        <v>75.010000000000005</v>
      </c>
      <c r="U29" s="52">
        <v>4.1900000000000004</v>
      </c>
      <c r="V29" s="52">
        <v>4.03</v>
      </c>
    </row>
    <row r="30" spans="8:22" x14ac:dyDescent="0.25">
      <c r="H30" s="54" t="s">
        <v>37</v>
      </c>
      <c r="I30" s="52">
        <v>8.2899999999999991</v>
      </c>
      <c r="J30" s="52">
        <v>731.02</v>
      </c>
      <c r="K30" s="52">
        <v>56.53</v>
      </c>
      <c r="L30" s="52">
        <v>1008.6</v>
      </c>
      <c r="M30" s="52">
        <v>5.91</v>
      </c>
      <c r="N30" s="52">
        <v>384.18</v>
      </c>
      <c r="O30" s="52">
        <v>369.54</v>
      </c>
      <c r="P30" s="52">
        <v>379.16</v>
      </c>
      <c r="Q30" s="52">
        <v>29.34</v>
      </c>
      <c r="R30" s="52">
        <v>86.89</v>
      </c>
      <c r="S30" s="52">
        <v>13.87</v>
      </c>
      <c r="T30" s="52">
        <v>72.16</v>
      </c>
      <c r="U30" s="52">
        <v>4.03</v>
      </c>
      <c r="V30" s="52">
        <v>3.87</v>
      </c>
    </row>
    <row r="31" spans="8:22" x14ac:dyDescent="0.25">
      <c r="H31" s="54" t="s">
        <v>38</v>
      </c>
      <c r="I31" s="52">
        <v>8.23</v>
      </c>
      <c r="J31" s="52">
        <v>772.9</v>
      </c>
      <c r="K31" s="52">
        <v>58.16</v>
      </c>
      <c r="L31" s="52">
        <v>1008.11</v>
      </c>
      <c r="M31" s="52">
        <v>5.37</v>
      </c>
      <c r="N31" s="52">
        <v>404.42</v>
      </c>
      <c r="O31" s="52">
        <v>388.78</v>
      </c>
      <c r="P31" s="52">
        <v>383.16</v>
      </c>
      <c r="Q31" s="52">
        <v>29.53</v>
      </c>
      <c r="R31" s="52">
        <v>85.24</v>
      </c>
      <c r="S31" s="52">
        <v>13.78</v>
      </c>
      <c r="T31" s="52">
        <v>71.95</v>
      </c>
      <c r="U31" s="52">
        <v>4.1900000000000004</v>
      </c>
      <c r="V31" s="52">
        <v>4.0199999999999996</v>
      </c>
    </row>
    <row r="32" spans="8:22" x14ac:dyDescent="0.25">
      <c r="H32" s="54" t="s">
        <v>39</v>
      </c>
      <c r="I32" s="52">
        <v>8.24</v>
      </c>
      <c r="J32" s="52">
        <v>838.94</v>
      </c>
      <c r="K32" s="52">
        <v>57.92</v>
      </c>
      <c r="L32" s="52">
        <v>1006.58</v>
      </c>
      <c r="M32" s="52">
        <v>4.96</v>
      </c>
      <c r="N32" s="52">
        <v>379.93</v>
      </c>
      <c r="O32" s="52">
        <v>363.43</v>
      </c>
      <c r="P32" s="52">
        <v>377.17</v>
      </c>
      <c r="Q32" s="52">
        <v>29.88</v>
      </c>
      <c r="R32" s="52">
        <v>84.97</v>
      </c>
      <c r="S32" s="52">
        <v>13.62</v>
      </c>
      <c r="T32" s="52">
        <v>70.709999999999994</v>
      </c>
      <c r="U32" s="52">
        <v>3.92</v>
      </c>
      <c r="V32" s="52">
        <v>3.75</v>
      </c>
    </row>
    <row r="36" spans="2:9" ht="15.75" thickBot="1" x14ac:dyDescent="0.3"/>
    <row r="37" spans="2:9" ht="15" customHeight="1" thickBot="1" x14ac:dyDescent="0.3">
      <c r="B37" s="82" t="s">
        <v>155</v>
      </c>
      <c r="C37" s="83"/>
      <c r="D37" s="72" t="s">
        <v>156</v>
      </c>
      <c r="E37" s="72" t="s">
        <v>157</v>
      </c>
      <c r="F37" s="71" t="s">
        <v>209</v>
      </c>
      <c r="G37" s="71" t="s">
        <v>210</v>
      </c>
      <c r="H37" s="71" t="s">
        <v>207</v>
      </c>
      <c r="I37" s="72" t="s">
        <v>158</v>
      </c>
    </row>
    <row r="38" spans="2:9" ht="15" customHeight="1" x14ac:dyDescent="0.25">
      <c r="B38" s="76" t="s">
        <v>97</v>
      </c>
      <c r="C38" s="77"/>
      <c r="D38" s="62" t="s">
        <v>163</v>
      </c>
      <c r="E38" s="63" t="s">
        <v>118</v>
      </c>
      <c r="F38" s="63">
        <v>5.48</v>
      </c>
      <c r="G38" s="63">
        <v>0.53</v>
      </c>
      <c r="H38" s="63">
        <v>23</v>
      </c>
      <c r="I38" s="64" t="s">
        <v>159</v>
      </c>
    </row>
    <row r="39" spans="2:9" ht="15" customHeight="1" x14ac:dyDescent="0.25">
      <c r="B39" s="78"/>
      <c r="C39" s="79"/>
      <c r="D39" s="59" t="s">
        <v>164</v>
      </c>
      <c r="E39" s="70" t="s">
        <v>128</v>
      </c>
      <c r="F39" s="70">
        <v>5.35</v>
      </c>
      <c r="G39" s="70">
        <v>0.39</v>
      </c>
      <c r="H39" s="70">
        <v>22</v>
      </c>
      <c r="I39" s="65" t="s">
        <v>159</v>
      </c>
    </row>
    <row r="40" spans="2:9" ht="15" customHeight="1" x14ac:dyDescent="0.25">
      <c r="B40" s="78"/>
      <c r="C40" s="79"/>
      <c r="D40" s="59" t="s">
        <v>165</v>
      </c>
      <c r="E40" s="70" t="s">
        <v>128</v>
      </c>
      <c r="F40" s="70">
        <v>5.24</v>
      </c>
      <c r="G40" s="70">
        <v>0.4</v>
      </c>
      <c r="H40" s="70">
        <v>22</v>
      </c>
      <c r="I40" s="65" t="s">
        <v>159</v>
      </c>
    </row>
    <row r="41" spans="2:9" ht="15" customHeight="1" x14ac:dyDescent="0.25">
      <c r="B41" s="78"/>
      <c r="C41" s="79"/>
      <c r="D41" s="59" t="s">
        <v>180</v>
      </c>
      <c r="E41" s="70" t="s">
        <v>132</v>
      </c>
      <c r="F41" s="70">
        <v>5.19</v>
      </c>
      <c r="G41" s="70">
        <v>0.28999999999999998</v>
      </c>
      <c r="H41" s="70">
        <v>15</v>
      </c>
      <c r="I41" s="65" t="s">
        <v>159</v>
      </c>
    </row>
    <row r="42" spans="2:9" ht="15" customHeight="1" thickBot="1" x14ac:dyDescent="0.3">
      <c r="B42" s="78"/>
      <c r="C42" s="79"/>
      <c r="D42" s="60" t="s">
        <v>171</v>
      </c>
      <c r="E42" s="61" t="s">
        <v>118</v>
      </c>
      <c r="F42" s="61">
        <v>5.18</v>
      </c>
      <c r="G42" s="61">
        <v>0.53</v>
      </c>
      <c r="H42" s="61">
        <v>18</v>
      </c>
      <c r="I42" s="66" t="s">
        <v>159</v>
      </c>
    </row>
    <row r="43" spans="2:9" ht="15" customHeight="1" x14ac:dyDescent="0.25">
      <c r="B43" s="78"/>
      <c r="C43" s="79"/>
      <c r="D43" s="62" t="s">
        <v>162</v>
      </c>
      <c r="E43" s="63" t="s">
        <v>118</v>
      </c>
      <c r="F43" s="63">
        <v>5.52</v>
      </c>
      <c r="G43" s="63">
        <v>0.92</v>
      </c>
      <c r="H43" s="63">
        <v>16</v>
      </c>
      <c r="I43" s="64" t="s">
        <v>160</v>
      </c>
    </row>
    <row r="44" spans="2:9" ht="15" customHeight="1" x14ac:dyDescent="0.25">
      <c r="B44" s="78"/>
      <c r="C44" s="79"/>
      <c r="D44" s="59" t="s">
        <v>181</v>
      </c>
      <c r="E44" s="70" t="s">
        <v>123</v>
      </c>
      <c r="F44" s="70">
        <v>5.34</v>
      </c>
      <c r="G44" s="70">
        <v>0.63</v>
      </c>
      <c r="H44" s="70">
        <v>22</v>
      </c>
      <c r="I44" s="65" t="s">
        <v>160</v>
      </c>
    </row>
    <row r="45" spans="2:9" ht="15" customHeight="1" x14ac:dyDescent="0.25">
      <c r="B45" s="78"/>
      <c r="C45" s="79"/>
      <c r="D45" s="59" t="s">
        <v>191</v>
      </c>
      <c r="E45" s="70" t="s">
        <v>120</v>
      </c>
      <c r="F45" s="70">
        <v>5.27</v>
      </c>
      <c r="G45" s="70">
        <v>0.33</v>
      </c>
      <c r="H45" s="70">
        <v>26</v>
      </c>
      <c r="I45" s="65" t="s">
        <v>160</v>
      </c>
    </row>
    <row r="46" spans="2:9" ht="15" customHeight="1" x14ac:dyDescent="0.25">
      <c r="B46" s="78"/>
      <c r="C46" s="79"/>
      <c r="D46" s="59" t="s">
        <v>189</v>
      </c>
      <c r="E46" s="70" t="s">
        <v>127</v>
      </c>
      <c r="F46" s="70">
        <v>5.19</v>
      </c>
      <c r="G46" s="70">
        <v>0.39</v>
      </c>
      <c r="H46" s="70">
        <v>18</v>
      </c>
      <c r="I46" s="65" t="s">
        <v>160</v>
      </c>
    </row>
    <row r="47" spans="2:9" ht="15" customHeight="1" thickBot="1" x14ac:dyDescent="0.3">
      <c r="B47" s="78"/>
      <c r="C47" s="79"/>
      <c r="D47" s="60" t="s">
        <v>192</v>
      </c>
      <c r="E47" s="61" t="s">
        <v>118</v>
      </c>
      <c r="F47" s="61">
        <v>5.12</v>
      </c>
      <c r="G47" s="61">
        <v>0.8</v>
      </c>
      <c r="H47" s="61">
        <v>16</v>
      </c>
      <c r="I47" s="66" t="s">
        <v>160</v>
      </c>
    </row>
    <row r="48" spans="2:9" ht="15" customHeight="1" x14ac:dyDescent="0.25">
      <c r="B48" s="78"/>
      <c r="C48" s="79"/>
      <c r="D48" s="62" t="s">
        <v>166</v>
      </c>
      <c r="E48" s="63" t="s">
        <v>122</v>
      </c>
      <c r="F48" s="63">
        <v>4.91</v>
      </c>
      <c r="G48" s="63">
        <v>0.75</v>
      </c>
      <c r="H48" s="63">
        <v>17</v>
      </c>
      <c r="I48" s="64" t="s">
        <v>161</v>
      </c>
    </row>
    <row r="49" spans="2:9" ht="15" customHeight="1" x14ac:dyDescent="0.25">
      <c r="B49" s="78"/>
      <c r="C49" s="79"/>
      <c r="D49" s="59" t="s">
        <v>167</v>
      </c>
      <c r="E49" s="70" t="s">
        <v>119</v>
      </c>
      <c r="F49" s="70">
        <v>4.84</v>
      </c>
      <c r="G49" s="70">
        <v>0.95</v>
      </c>
      <c r="H49" s="70">
        <v>18</v>
      </c>
      <c r="I49" s="65" t="s">
        <v>161</v>
      </c>
    </row>
    <row r="50" spans="2:9" ht="15" customHeight="1" x14ac:dyDescent="0.25">
      <c r="B50" s="78"/>
      <c r="C50" s="79"/>
      <c r="D50" s="59" t="s">
        <v>183</v>
      </c>
      <c r="E50" s="70" t="s">
        <v>118</v>
      </c>
      <c r="F50" s="70">
        <v>4.38</v>
      </c>
      <c r="G50" s="70">
        <v>0.95</v>
      </c>
      <c r="H50" s="70">
        <v>22</v>
      </c>
      <c r="I50" s="65" t="s">
        <v>161</v>
      </c>
    </row>
    <row r="51" spans="2:9" ht="15" customHeight="1" x14ac:dyDescent="0.25">
      <c r="B51" s="78"/>
      <c r="C51" s="79"/>
      <c r="D51" s="59" t="s">
        <v>193</v>
      </c>
      <c r="E51" s="70" t="s">
        <v>121</v>
      </c>
      <c r="F51" s="70">
        <v>4.37</v>
      </c>
      <c r="G51" s="70">
        <v>0.75</v>
      </c>
      <c r="H51" s="70">
        <v>20</v>
      </c>
      <c r="I51" s="65" t="s">
        <v>161</v>
      </c>
    </row>
    <row r="52" spans="2:9" ht="15" customHeight="1" thickBot="1" x14ac:dyDescent="0.3">
      <c r="B52" s="80"/>
      <c r="C52" s="81"/>
      <c r="D52" s="60" t="s">
        <v>182</v>
      </c>
      <c r="E52" s="61" t="s">
        <v>124</v>
      </c>
      <c r="F52" s="61">
        <v>4.3600000000000003</v>
      </c>
      <c r="G52" s="61">
        <v>0.72</v>
      </c>
      <c r="H52" s="61">
        <v>22</v>
      </c>
      <c r="I52" s="66" t="s">
        <v>161</v>
      </c>
    </row>
    <row r="53" spans="2:9" ht="15" customHeight="1" x14ac:dyDescent="0.25">
      <c r="B53" s="76" t="s">
        <v>98</v>
      </c>
      <c r="C53" s="77"/>
      <c r="D53" s="62" t="s">
        <v>163</v>
      </c>
      <c r="E53" s="63" t="s">
        <v>118</v>
      </c>
      <c r="F53" s="63">
        <v>5.31</v>
      </c>
      <c r="G53" s="63">
        <v>0.51</v>
      </c>
      <c r="H53" s="63">
        <v>23</v>
      </c>
      <c r="I53" s="64" t="s">
        <v>159</v>
      </c>
    </row>
    <row r="54" spans="2:9" ht="15" customHeight="1" x14ac:dyDescent="0.25">
      <c r="B54" s="78"/>
      <c r="C54" s="79"/>
      <c r="D54" s="59" t="s">
        <v>165</v>
      </c>
      <c r="E54" s="70" t="s">
        <v>128</v>
      </c>
      <c r="F54" s="70">
        <v>5.0999999999999996</v>
      </c>
      <c r="G54" s="70">
        <v>0.39</v>
      </c>
      <c r="H54" s="70">
        <v>22</v>
      </c>
      <c r="I54" s="65" t="s">
        <v>159</v>
      </c>
    </row>
    <row r="55" spans="2:9" ht="15" customHeight="1" x14ac:dyDescent="0.25">
      <c r="B55" s="78"/>
      <c r="C55" s="79"/>
      <c r="D55" s="59" t="s">
        <v>164</v>
      </c>
      <c r="E55" s="70" t="s">
        <v>128</v>
      </c>
      <c r="F55" s="70">
        <v>5</v>
      </c>
      <c r="G55" s="70">
        <v>0.41</v>
      </c>
      <c r="H55" s="70">
        <v>22</v>
      </c>
      <c r="I55" s="65" t="s">
        <v>159</v>
      </c>
    </row>
    <row r="56" spans="2:9" ht="15" customHeight="1" x14ac:dyDescent="0.25">
      <c r="B56" s="78"/>
      <c r="C56" s="79"/>
      <c r="D56" s="59" t="s">
        <v>170</v>
      </c>
      <c r="E56" s="70" t="s">
        <v>132</v>
      </c>
      <c r="F56" s="70">
        <v>4.97</v>
      </c>
      <c r="G56" s="70">
        <v>0.46</v>
      </c>
      <c r="H56" s="70">
        <v>17</v>
      </c>
      <c r="I56" s="65" t="s">
        <v>159</v>
      </c>
    </row>
    <row r="57" spans="2:9" ht="15" customHeight="1" thickBot="1" x14ac:dyDescent="0.3">
      <c r="B57" s="78"/>
      <c r="C57" s="79"/>
      <c r="D57" s="60" t="s">
        <v>180</v>
      </c>
      <c r="E57" s="61" t="s">
        <v>132</v>
      </c>
      <c r="F57" s="61">
        <v>4.96</v>
      </c>
      <c r="G57" s="61">
        <v>0.31</v>
      </c>
      <c r="H57" s="61">
        <v>15</v>
      </c>
      <c r="I57" s="66" t="s">
        <v>159</v>
      </c>
    </row>
    <row r="58" spans="2:9" ht="15" customHeight="1" x14ac:dyDescent="0.25">
      <c r="B58" s="78"/>
      <c r="C58" s="79"/>
      <c r="D58" s="62" t="s">
        <v>162</v>
      </c>
      <c r="E58" s="63" t="s">
        <v>118</v>
      </c>
      <c r="F58" s="63">
        <v>5.22</v>
      </c>
      <c r="G58" s="63">
        <v>0.83</v>
      </c>
      <c r="H58" s="63">
        <v>16</v>
      </c>
      <c r="I58" s="64" t="s">
        <v>160</v>
      </c>
    </row>
    <row r="59" spans="2:9" ht="15" customHeight="1" x14ac:dyDescent="0.25">
      <c r="B59" s="78"/>
      <c r="C59" s="79"/>
      <c r="D59" s="59" t="s">
        <v>191</v>
      </c>
      <c r="E59" s="70" t="s">
        <v>120</v>
      </c>
      <c r="F59" s="70">
        <v>5.1100000000000003</v>
      </c>
      <c r="G59" s="70">
        <v>0.34</v>
      </c>
      <c r="H59" s="70">
        <v>26</v>
      </c>
      <c r="I59" s="65" t="s">
        <v>160</v>
      </c>
    </row>
    <row r="60" spans="2:9" ht="15" customHeight="1" x14ac:dyDescent="0.25">
      <c r="B60" s="78"/>
      <c r="C60" s="79"/>
      <c r="D60" s="59" t="s">
        <v>181</v>
      </c>
      <c r="E60" s="70" t="s">
        <v>123</v>
      </c>
      <c r="F60" s="70">
        <v>5.08</v>
      </c>
      <c r="G60" s="70">
        <v>0.56999999999999995</v>
      </c>
      <c r="H60" s="70">
        <v>22</v>
      </c>
      <c r="I60" s="65" t="s">
        <v>160</v>
      </c>
    </row>
    <row r="61" spans="2:9" ht="15" customHeight="1" x14ac:dyDescent="0.25">
      <c r="B61" s="78"/>
      <c r="C61" s="79"/>
      <c r="D61" s="59" t="s">
        <v>189</v>
      </c>
      <c r="E61" s="70" t="s">
        <v>127</v>
      </c>
      <c r="F61" s="70">
        <v>5.08</v>
      </c>
      <c r="G61" s="70">
        <v>0.41</v>
      </c>
      <c r="H61" s="70">
        <v>18</v>
      </c>
      <c r="I61" s="65" t="s">
        <v>160</v>
      </c>
    </row>
    <row r="62" spans="2:9" ht="15" customHeight="1" thickBot="1" x14ac:dyDescent="0.3">
      <c r="B62" s="78"/>
      <c r="C62" s="79"/>
      <c r="D62" s="60" t="s">
        <v>194</v>
      </c>
      <c r="E62" s="61" t="s">
        <v>127</v>
      </c>
      <c r="F62" s="61">
        <v>4.95</v>
      </c>
      <c r="G62" s="61">
        <v>0.41</v>
      </c>
      <c r="H62" s="61">
        <v>24</v>
      </c>
      <c r="I62" s="66" t="s">
        <v>160</v>
      </c>
    </row>
    <row r="63" spans="2:9" ht="15" customHeight="1" x14ac:dyDescent="0.25">
      <c r="B63" s="78"/>
      <c r="C63" s="79"/>
      <c r="D63" s="62" t="s">
        <v>166</v>
      </c>
      <c r="E63" s="63" t="s">
        <v>122</v>
      </c>
      <c r="F63" s="63">
        <v>4.8499999999999996</v>
      </c>
      <c r="G63" s="63">
        <v>0.83</v>
      </c>
      <c r="H63" s="63">
        <v>17</v>
      </c>
      <c r="I63" s="64" t="s">
        <v>161</v>
      </c>
    </row>
    <row r="64" spans="2:9" ht="15" customHeight="1" x14ac:dyDescent="0.25">
      <c r="B64" s="78"/>
      <c r="C64" s="79"/>
      <c r="D64" s="59" t="s">
        <v>167</v>
      </c>
      <c r="E64" s="70" t="s">
        <v>119</v>
      </c>
      <c r="F64" s="70">
        <v>4.66</v>
      </c>
      <c r="G64" s="70">
        <v>0.89</v>
      </c>
      <c r="H64" s="70">
        <v>18</v>
      </c>
      <c r="I64" s="65" t="s">
        <v>161</v>
      </c>
    </row>
    <row r="65" spans="2:9" ht="15" customHeight="1" x14ac:dyDescent="0.25">
      <c r="B65" s="78"/>
      <c r="C65" s="79"/>
      <c r="D65" s="59" t="s">
        <v>183</v>
      </c>
      <c r="E65" s="70" t="s">
        <v>118</v>
      </c>
      <c r="F65" s="70">
        <v>4.34</v>
      </c>
      <c r="G65" s="70">
        <v>0.93</v>
      </c>
      <c r="H65" s="70">
        <v>22</v>
      </c>
      <c r="I65" s="65" t="s">
        <v>161</v>
      </c>
    </row>
    <row r="66" spans="2:9" ht="15" customHeight="1" x14ac:dyDescent="0.25">
      <c r="B66" s="78"/>
      <c r="C66" s="79"/>
      <c r="D66" s="59" t="s">
        <v>182</v>
      </c>
      <c r="E66" s="70" t="s">
        <v>124</v>
      </c>
      <c r="F66" s="70">
        <v>4.17</v>
      </c>
      <c r="G66" s="70">
        <v>0.68</v>
      </c>
      <c r="H66" s="70">
        <v>22</v>
      </c>
      <c r="I66" s="65" t="s">
        <v>161</v>
      </c>
    </row>
    <row r="67" spans="2:9" ht="15" customHeight="1" thickBot="1" x14ac:dyDescent="0.3">
      <c r="B67" s="80"/>
      <c r="C67" s="81"/>
      <c r="D67" s="60" t="s">
        <v>193</v>
      </c>
      <c r="E67" s="61" t="s">
        <v>121</v>
      </c>
      <c r="F67" s="61">
        <v>4.1100000000000003</v>
      </c>
      <c r="G67" s="61">
        <v>0.72</v>
      </c>
      <c r="H67" s="61">
        <v>20</v>
      </c>
      <c r="I67" s="66" t="s">
        <v>161</v>
      </c>
    </row>
    <row r="68" spans="2:9" ht="15" customHeight="1" x14ac:dyDescent="0.25">
      <c r="B68" s="76" t="s">
        <v>1</v>
      </c>
      <c r="C68" s="77"/>
      <c r="D68" s="62" t="s">
        <v>168</v>
      </c>
      <c r="E68" s="63" t="s">
        <v>126</v>
      </c>
      <c r="F68" s="63">
        <v>10.72</v>
      </c>
      <c r="G68" s="63">
        <v>1.04</v>
      </c>
      <c r="H68" s="63">
        <v>15</v>
      </c>
      <c r="I68" s="64" t="s">
        <v>159</v>
      </c>
    </row>
    <row r="69" spans="2:9" ht="15" customHeight="1" x14ac:dyDescent="0.25">
      <c r="B69" s="78"/>
      <c r="C69" s="79"/>
      <c r="D69" s="59" t="s">
        <v>165</v>
      </c>
      <c r="E69" s="70" t="s">
        <v>128</v>
      </c>
      <c r="F69" s="70">
        <v>10.68</v>
      </c>
      <c r="G69" s="70">
        <v>0.65</v>
      </c>
      <c r="H69" s="70">
        <v>22</v>
      </c>
      <c r="I69" s="65" t="s">
        <v>159</v>
      </c>
    </row>
    <row r="70" spans="2:9" ht="15" customHeight="1" x14ac:dyDescent="0.25">
      <c r="B70" s="78"/>
      <c r="C70" s="79"/>
      <c r="D70" s="59" t="s">
        <v>169</v>
      </c>
      <c r="E70" s="70" t="s">
        <v>133</v>
      </c>
      <c r="F70" s="70">
        <v>10.64</v>
      </c>
      <c r="G70" s="70">
        <v>0.79</v>
      </c>
      <c r="H70" s="70">
        <v>17</v>
      </c>
      <c r="I70" s="65" t="s">
        <v>159</v>
      </c>
    </row>
    <row r="71" spans="2:9" ht="15" customHeight="1" x14ac:dyDescent="0.25">
      <c r="B71" s="78"/>
      <c r="C71" s="79"/>
      <c r="D71" s="59" t="s">
        <v>180</v>
      </c>
      <c r="E71" s="70" t="s">
        <v>132</v>
      </c>
      <c r="F71" s="70">
        <v>10.55</v>
      </c>
      <c r="G71" s="70">
        <v>0.68</v>
      </c>
      <c r="H71" s="70">
        <v>15</v>
      </c>
      <c r="I71" s="65" t="s">
        <v>159</v>
      </c>
    </row>
    <row r="72" spans="2:9" ht="15" customHeight="1" thickBot="1" x14ac:dyDescent="0.3">
      <c r="B72" s="78"/>
      <c r="C72" s="79"/>
      <c r="D72" s="60" t="s">
        <v>164</v>
      </c>
      <c r="E72" s="61" t="s">
        <v>128</v>
      </c>
      <c r="F72" s="61">
        <v>10.54</v>
      </c>
      <c r="G72" s="61">
        <v>0.72</v>
      </c>
      <c r="H72" s="61">
        <v>22</v>
      </c>
      <c r="I72" s="66" t="s">
        <v>159</v>
      </c>
    </row>
    <row r="73" spans="2:9" ht="15" customHeight="1" x14ac:dyDescent="0.25">
      <c r="B73" s="78"/>
      <c r="C73" s="79"/>
      <c r="D73" s="62" t="s">
        <v>191</v>
      </c>
      <c r="E73" s="63" t="s">
        <v>120</v>
      </c>
      <c r="F73" s="63">
        <v>10.98</v>
      </c>
      <c r="G73" s="63">
        <v>0.54</v>
      </c>
      <c r="H73" s="63">
        <v>26</v>
      </c>
      <c r="I73" s="64" t="s">
        <v>160</v>
      </c>
    </row>
    <row r="74" spans="2:9" ht="15" customHeight="1" x14ac:dyDescent="0.25">
      <c r="B74" s="78"/>
      <c r="C74" s="79"/>
      <c r="D74" s="59" t="s">
        <v>194</v>
      </c>
      <c r="E74" s="70" t="s">
        <v>127</v>
      </c>
      <c r="F74" s="70">
        <v>10.86</v>
      </c>
      <c r="G74" s="70">
        <v>0.68</v>
      </c>
      <c r="H74" s="70">
        <v>24</v>
      </c>
      <c r="I74" s="65" t="s">
        <v>160</v>
      </c>
    </row>
    <row r="75" spans="2:9" ht="15" customHeight="1" x14ac:dyDescent="0.25">
      <c r="B75" s="78"/>
      <c r="C75" s="79"/>
      <c r="D75" s="59" t="s">
        <v>189</v>
      </c>
      <c r="E75" s="70" t="s">
        <v>127</v>
      </c>
      <c r="F75" s="70">
        <v>10.74</v>
      </c>
      <c r="G75" s="70">
        <v>0.7</v>
      </c>
      <c r="H75" s="70">
        <v>18</v>
      </c>
      <c r="I75" s="65" t="s">
        <v>160</v>
      </c>
    </row>
    <row r="76" spans="2:9" ht="15" customHeight="1" x14ac:dyDescent="0.25">
      <c r="B76" s="78"/>
      <c r="C76" s="79"/>
      <c r="D76" s="59" t="s">
        <v>177</v>
      </c>
      <c r="E76" s="70" t="s">
        <v>126</v>
      </c>
      <c r="F76" s="70">
        <v>10.61</v>
      </c>
      <c r="G76" s="70">
        <v>1.26</v>
      </c>
      <c r="H76" s="70">
        <v>26</v>
      </c>
      <c r="I76" s="65" t="s">
        <v>160</v>
      </c>
    </row>
    <row r="77" spans="2:9" ht="15" customHeight="1" thickBot="1" x14ac:dyDescent="0.3">
      <c r="B77" s="78"/>
      <c r="C77" s="79"/>
      <c r="D77" s="60" t="s">
        <v>195</v>
      </c>
      <c r="E77" s="61" t="s">
        <v>121</v>
      </c>
      <c r="F77" s="61">
        <v>10.58</v>
      </c>
      <c r="G77" s="61">
        <v>1.1299999999999999</v>
      </c>
      <c r="H77" s="61">
        <v>19</v>
      </c>
      <c r="I77" s="66" t="s">
        <v>160</v>
      </c>
    </row>
    <row r="78" spans="2:9" ht="15" customHeight="1" x14ac:dyDescent="0.25">
      <c r="B78" s="78"/>
      <c r="C78" s="79"/>
      <c r="D78" s="62" t="s">
        <v>166</v>
      </c>
      <c r="E78" s="63" t="s">
        <v>122</v>
      </c>
      <c r="F78" s="63">
        <v>10.63</v>
      </c>
      <c r="G78" s="63">
        <v>1.66</v>
      </c>
      <c r="H78" s="63">
        <v>17</v>
      </c>
      <c r="I78" s="64" t="s">
        <v>161</v>
      </c>
    </row>
    <row r="79" spans="2:9" ht="15" customHeight="1" x14ac:dyDescent="0.25">
      <c r="B79" s="78"/>
      <c r="C79" s="79"/>
      <c r="D79" s="59" t="s">
        <v>182</v>
      </c>
      <c r="E79" s="70" t="s">
        <v>124</v>
      </c>
      <c r="F79" s="70">
        <v>10.54</v>
      </c>
      <c r="G79" s="70">
        <v>1.63</v>
      </c>
      <c r="H79" s="70">
        <v>22</v>
      </c>
      <c r="I79" s="65" t="s">
        <v>161</v>
      </c>
    </row>
    <row r="80" spans="2:9" ht="15" customHeight="1" x14ac:dyDescent="0.25">
      <c r="B80" s="78"/>
      <c r="C80" s="79"/>
      <c r="D80" s="59" t="s">
        <v>167</v>
      </c>
      <c r="E80" s="70" t="s">
        <v>119</v>
      </c>
      <c r="F80" s="70">
        <v>9.8800000000000008</v>
      </c>
      <c r="G80" s="70">
        <v>2.09</v>
      </c>
      <c r="H80" s="70">
        <v>18</v>
      </c>
      <c r="I80" s="65" t="s">
        <v>161</v>
      </c>
    </row>
    <row r="81" spans="2:9" ht="15" customHeight="1" x14ac:dyDescent="0.25">
      <c r="B81" s="78"/>
      <c r="C81" s="79"/>
      <c r="D81" s="59" t="s">
        <v>183</v>
      </c>
      <c r="E81" s="70" t="s">
        <v>118</v>
      </c>
      <c r="F81" s="70">
        <v>9.57</v>
      </c>
      <c r="G81" s="70">
        <v>1.83</v>
      </c>
      <c r="H81" s="70">
        <v>22</v>
      </c>
      <c r="I81" s="65" t="s">
        <v>161</v>
      </c>
    </row>
    <row r="82" spans="2:9" ht="15" customHeight="1" thickBot="1" x14ac:dyDescent="0.3">
      <c r="B82" s="80"/>
      <c r="C82" s="81"/>
      <c r="D82" s="60" t="s">
        <v>196</v>
      </c>
      <c r="E82" s="61" t="s">
        <v>122</v>
      </c>
      <c r="F82" s="61">
        <v>8.94</v>
      </c>
      <c r="G82" s="61">
        <v>1.54</v>
      </c>
      <c r="H82" s="61">
        <v>26</v>
      </c>
      <c r="I82" s="66" t="s">
        <v>161</v>
      </c>
    </row>
    <row r="83" spans="2:9" ht="15" customHeight="1" x14ac:dyDescent="0.25">
      <c r="B83" s="76" t="s">
        <v>208</v>
      </c>
      <c r="C83" s="77"/>
      <c r="D83" s="62" t="s">
        <v>170</v>
      </c>
      <c r="E83" s="63" t="s">
        <v>132</v>
      </c>
      <c r="F83" s="63">
        <v>108.71</v>
      </c>
      <c r="G83" s="63">
        <v>9.8000000000000007</v>
      </c>
      <c r="H83" s="63">
        <v>17</v>
      </c>
      <c r="I83" s="64" t="s">
        <v>159</v>
      </c>
    </row>
    <row r="84" spans="2:9" ht="15" customHeight="1" x14ac:dyDescent="0.25">
      <c r="B84" s="78"/>
      <c r="C84" s="79"/>
      <c r="D84" s="59" t="s">
        <v>165</v>
      </c>
      <c r="E84" s="70" t="s">
        <v>128</v>
      </c>
      <c r="F84" s="70">
        <v>107.9</v>
      </c>
      <c r="G84" s="70">
        <v>6.7</v>
      </c>
      <c r="H84" s="70">
        <v>22</v>
      </c>
      <c r="I84" s="65" t="s">
        <v>159</v>
      </c>
    </row>
    <row r="85" spans="2:9" ht="15" customHeight="1" x14ac:dyDescent="0.25">
      <c r="B85" s="78"/>
      <c r="C85" s="79"/>
      <c r="D85" s="59" t="s">
        <v>169</v>
      </c>
      <c r="E85" s="70" t="s">
        <v>133</v>
      </c>
      <c r="F85" s="70">
        <v>106.98</v>
      </c>
      <c r="G85" s="70">
        <v>6.23</v>
      </c>
      <c r="H85" s="70">
        <v>17</v>
      </c>
      <c r="I85" s="65" t="s">
        <v>159</v>
      </c>
    </row>
    <row r="86" spans="2:9" ht="15" customHeight="1" x14ac:dyDescent="0.25">
      <c r="B86" s="78"/>
      <c r="C86" s="79"/>
      <c r="D86" s="59" t="s">
        <v>164</v>
      </c>
      <c r="E86" s="70" t="s">
        <v>128</v>
      </c>
      <c r="F86" s="70">
        <v>106.91</v>
      </c>
      <c r="G86" s="70">
        <v>7.01</v>
      </c>
      <c r="H86" s="70">
        <v>22</v>
      </c>
      <c r="I86" s="65" t="s">
        <v>159</v>
      </c>
    </row>
    <row r="87" spans="2:9" ht="15" customHeight="1" thickBot="1" x14ac:dyDescent="0.3">
      <c r="B87" s="78"/>
      <c r="C87" s="79"/>
      <c r="D87" s="60" t="s">
        <v>168</v>
      </c>
      <c r="E87" s="61" t="s">
        <v>126</v>
      </c>
      <c r="F87" s="61">
        <v>106.52</v>
      </c>
      <c r="G87" s="61">
        <v>9.57</v>
      </c>
      <c r="H87" s="61">
        <v>15</v>
      </c>
      <c r="I87" s="66" t="s">
        <v>159</v>
      </c>
    </row>
    <row r="88" spans="2:9" ht="15" customHeight="1" x14ac:dyDescent="0.25">
      <c r="B88" s="78"/>
      <c r="C88" s="79"/>
      <c r="D88" s="62" t="s">
        <v>181</v>
      </c>
      <c r="E88" s="63" t="s">
        <v>123</v>
      </c>
      <c r="F88" s="63">
        <v>112.84</v>
      </c>
      <c r="G88" s="63">
        <v>10.89</v>
      </c>
      <c r="H88" s="63">
        <v>22</v>
      </c>
      <c r="I88" s="64" t="s">
        <v>160</v>
      </c>
    </row>
    <row r="89" spans="2:9" ht="15" customHeight="1" x14ac:dyDescent="0.25">
      <c r="B89" s="78"/>
      <c r="C89" s="79"/>
      <c r="D89" s="59" t="s">
        <v>191</v>
      </c>
      <c r="E89" s="70" t="s">
        <v>120</v>
      </c>
      <c r="F89" s="70">
        <v>111.45</v>
      </c>
      <c r="G89" s="70">
        <v>6.86</v>
      </c>
      <c r="H89" s="70">
        <v>26</v>
      </c>
      <c r="I89" s="65" t="s">
        <v>160</v>
      </c>
    </row>
    <row r="90" spans="2:9" ht="15" customHeight="1" x14ac:dyDescent="0.25">
      <c r="B90" s="78"/>
      <c r="C90" s="79"/>
      <c r="D90" s="59" t="s">
        <v>194</v>
      </c>
      <c r="E90" s="70" t="s">
        <v>127</v>
      </c>
      <c r="F90" s="70">
        <v>110.84</v>
      </c>
      <c r="G90" s="70">
        <v>5.37</v>
      </c>
      <c r="H90" s="70">
        <v>24</v>
      </c>
      <c r="I90" s="65" t="s">
        <v>160</v>
      </c>
    </row>
    <row r="91" spans="2:9" ht="15" customHeight="1" x14ac:dyDescent="0.25">
      <c r="B91" s="78"/>
      <c r="C91" s="79"/>
      <c r="D91" s="59" t="s">
        <v>189</v>
      </c>
      <c r="E91" s="70" t="s">
        <v>127</v>
      </c>
      <c r="F91" s="70">
        <v>110.45</v>
      </c>
      <c r="G91" s="70">
        <v>7.39</v>
      </c>
      <c r="H91" s="70">
        <v>18</v>
      </c>
      <c r="I91" s="65" t="s">
        <v>160</v>
      </c>
    </row>
    <row r="92" spans="2:9" ht="15" customHeight="1" thickBot="1" x14ac:dyDescent="0.3">
      <c r="B92" s="78"/>
      <c r="C92" s="79"/>
      <c r="D92" s="60" t="s">
        <v>192</v>
      </c>
      <c r="E92" s="61" t="s">
        <v>118</v>
      </c>
      <c r="F92" s="61">
        <v>106.85</v>
      </c>
      <c r="G92" s="61">
        <v>15.32</v>
      </c>
      <c r="H92" s="61">
        <v>16</v>
      </c>
      <c r="I92" s="66" t="s">
        <v>160</v>
      </c>
    </row>
    <row r="93" spans="2:9" ht="15" customHeight="1" x14ac:dyDescent="0.25">
      <c r="B93" s="78"/>
      <c r="C93" s="79"/>
      <c r="D93" s="62" t="s">
        <v>166</v>
      </c>
      <c r="E93" s="63" t="s">
        <v>122</v>
      </c>
      <c r="F93" s="63">
        <v>108.27</v>
      </c>
      <c r="G93" s="63">
        <v>16.97</v>
      </c>
      <c r="H93" s="63">
        <v>17</v>
      </c>
      <c r="I93" s="64" t="s">
        <v>161</v>
      </c>
    </row>
    <row r="94" spans="2:9" ht="15" customHeight="1" x14ac:dyDescent="0.25">
      <c r="B94" s="78"/>
      <c r="C94" s="79"/>
      <c r="D94" s="59" t="s">
        <v>182</v>
      </c>
      <c r="E94" s="70" t="s">
        <v>124</v>
      </c>
      <c r="F94" s="70">
        <v>106.81</v>
      </c>
      <c r="G94" s="70">
        <v>15.54</v>
      </c>
      <c r="H94" s="70">
        <v>22</v>
      </c>
      <c r="I94" s="65" t="s">
        <v>161</v>
      </c>
    </row>
    <row r="95" spans="2:9" ht="15" customHeight="1" x14ac:dyDescent="0.25">
      <c r="B95" s="78"/>
      <c r="C95" s="79"/>
      <c r="D95" s="59" t="s">
        <v>167</v>
      </c>
      <c r="E95" s="70" t="s">
        <v>119</v>
      </c>
      <c r="F95" s="70">
        <v>99.75</v>
      </c>
      <c r="G95" s="70">
        <v>20.149999999999999</v>
      </c>
      <c r="H95" s="70">
        <v>18</v>
      </c>
      <c r="I95" s="65" t="s">
        <v>161</v>
      </c>
    </row>
    <row r="96" spans="2:9" ht="15" customHeight="1" x14ac:dyDescent="0.25">
      <c r="B96" s="78"/>
      <c r="C96" s="79"/>
      <c r="D96" s="59" t="s">
        <v>183</v>
      </c>
      <c r="E96" s="70" t="s">
        <v>118</v>
      </c>
      <c r="F96" s="70">
        <v>98.5</v>
      </c>
      <c r="G96" s="70">
        <v>19.03</v>
      </c>
      <c r="H96" s="70">
        <v>22</v>
      </c>
      <c r="I96" s="65" t="s">
        <v>161</v>
      </c>
    </row>
    <row r="97" spans="2:9" ht="15" customHeight="1" thickBot="1" x14ac:dyDescent="0.3">
      <c r="B97" s="80"/>
      <c r="C97" s="81"/>
      <c r="D97" s="60" t="s">
        <v>196</v>
      </c>
      <c r="E97" s="61" t="s">
        <v>122</v>
      </c>
      <c r="F97" s="61">
        <v>90.69</v>
      </c>
      <c r="G97" s="61">
        <v>15.65</v>
      </c>
      <c r="H97" s="61">
        <v>26</v>
      </c>
      <c r="I97" s="66" t="s">
        <v>161</v>
      </c>
    </row>
    <row r="98" spans="2:9" ht="15" customHeight="1" x14ac:dyDescent="0.25">
      <c r="B98" s="76" t="s">
        <v>4</v>
      </c>
      <c r="C98" s="77"/>
      <c r="D98" s="62" t="s">
        <v>171</v>
      </c>
      <c r="E98" s="63" t="s">
        <v>118</v>
      </c>
      <c r="F98" s="67">
        <v>1422.8</v>
      </c>
      <c r="G98" s="63">
        <v>80.69</v>
      </c>
      <c r="H98" s="63">
        <v>18</v>
      </c>
      <c r="I98" s="64" t="s">
        <v>159</v>
      </c>
    </row>
    <row r="99" spans="2:9" ht="15" customHeight="1" x14ac:dyDescent="0.25">
      <c r="B99" s="78"/>
      <c r="C99" s="79"/>
      <c r="D99" s="59" t="s">
        <v>172</v>
      </c>
      <c r="E99" s="70" t="s">
        <v>129</v>
      </c>
      <c r="F99" s="68">
        <v>1371.91</v>
      </c>
      <c r="G99" s="70">
        <v>132.22999999999999</v>
      </c>
      <c r="H99" s="70">
        <v>21</v>
      </c>
      <c r="I99" s="65" t="s">
        <v>159</v>
      </c>
    </row>
    <row r="100" spans="2:9" ht="15" customHeight="1" x14ac:dyDescent="0.25">
      <c r="B100" s="78"/>
      <c r="C100" s="79"/>
      <c r="D100" s="59" t="s">
        <v>165</v>
      </c>
      <c r="E100" s="70" t="s">
        <v>128</v>
      </c>
      <c r="F100" s="68">
        <v>1357.33</v>
      </c>
      <c r="G100" s="70">
        <v>85.36</v>
      </c>
      <c r="H100" s="70">
        <v>22</v>
      </c>
      <c r="I100" s="65" t="s">
        <v>159</v>
      </c>
    </row>
    <row r="101" spans="2:9" ht="15" customHeight="1" x14ac:dyDescent="0.25">
      <c r="B101" s="78"/>
      <c r="C101" s="79"/>
      <c r="D101" s="59" t="s">
        <v>164</v>
      </c>
      <c r="E101" s="70" t="s">
        <v>128</v>
      </c>
      <c r="F101" s="68">
        <v>1343.73</v>
      </c>
      <c r="G101" s="70">
        <v>102.28</v>
      </c>
      <c r="H101" s="70">
        <v>22</v>
      </c>
      <c r="I101" s="65" t="s">
        <v>159</v>
      </c>
    </row>
    <row r="102" spans="2:9" ht="15" customHeight="1" thickBot="1" x14ac:dyDescent="0.3">
      <c r="B102" s="78"/>
      <c r="C102" s="79"/>
      <c r="D102" s="60" t="s">
        <v>169</v>
      </c>
      <c r="E102" s="61" t="s">
        <v>133</v>
      </c>
      <c r="F102" s="69">
        <v>1317.5</v>
      </c>
      <c r="G102" s="61">
        <v>91.93</v>
      </c>
      <c r="H102" s="61">
        <v>17</v>
      </c>
      <c r="I102" s="66" t="s">
        <v>159</v>
      </c>
    </row>
    <row r="103" spans="2:9" ht="15" customHeight="1" x14ac:dyDescent="0.25">
      <c r="B103" s="78"/>
      <c r="C103" s="79"/>
      <c r="D103" s="62" t="s">
        <v>191</v>
      </c>
      <c r="E103" s="63" t="s">
        <v>120</v>
      </c>
      <c r="F103" s="67">
        <v>1331.1</v>
      </c>
      <c r="G103" s="63">
        <v>62.91</v>
      </c>
      <c r="H103" s="63">
        <v>26</v>
      </c>
      <c r="I103" s="64" t="s">
        <v>160</v>
      </c>
    </row>
    <row r="104" spans="2:9" ht="15" customHeight="1" x14ac:dyDescent="0.25">
      <c r="B104" s="78"/>
      <c r="C104" s="79"/>
      <c r="D104" s="59" t="s">
        <v>194</v>
      </c>
      <c r="E104" s="70" t="s">
        <v>127</v>
      </c>
      <c r="F104" s="68">
        <v>1319.91</v>
      </c>
      <c r="G104" s="70">
        <v>90.7</v>
      </c>
      <c r="H104" s="70">
        <v>24</v>
      </c>
      <c r="I104" s="65" t="s">
        <v>160</v>
      </c>
    </row>
    <row r="105" spans="2:9" ht="15" customHeight="1" x14ac:dyDescent="0.25">
      <c r="B105" s="78"/>
      <c r="C105" s="79"/>
      <c r="D105" s="59" t="s">
        <v>177</v>
      </c>
      <c r="E105" s="70" t="s">
        <v>126</v>
      </c>
      <c r="F105" s="68">
        <v>1308.04</v>
      </c>
      <c r="G105" s="70">
        <v>158.83000000000001</v>
      </c>
      <c r="H105" s="70">
        <v>26</v>
      </c>
      <c r="I105" s="65" t="s">
        <v>160</v>
      </c>
    </row>
    <row r="106" spans="2:9" ht="15" customHeight="1" x14ac:dyDescent="0.25">
      <c r="B106" s="78"/>
      <c r="C106" s="79"/>
      <c r="D106" s="59" t="s">
        <v>189</v>
      </c>
      <c r="E106" s="70" t="s">
        <v>127</v>
      </c>
      <c r="F106" s="68">
        <v>1290.08</v>
      </c>
      <c r="G106" s="70">
        <v>82.43</v>
      </c>
      <c r="H106" s="70">
        <v>18</v>
      </c>
      <c r="I106" s="65" t="s">
        <v>160</v>
      </c>
    </row>
    <row r="107" spans="2:9" ht="15" customHeight="1" thickBot="1" x14ac:dyDescent="0.3">
      <c r="B107" s="78"/>
      <c r="C107" s="79"/>
      <c r="D107" s="60" t="s">
        <v>195</v>
      </c>
      <c r="E107" s="61" t="s">
        <v>121</v>
      </c>
      <c r="F107" s="69">
        <v>1274.5</v>
      </c>
      <c r="G107" s="61">
        <v>143.86000000000001</v>
      </c>
      <c r="H107" s="61">
        <v>19</v>
      </c>
      <c r="I107" s="66" t="s">
        <v>160</v>
      </c>
    </row>
    <row r="108" spans="2:9" ht="15" customHeight="1" x14ac:dyDescent="0.25">
      <c r="B108" s="78"/>
      <c r="C108" s="79"/>
      <c r="D108" s="62" t="s">
        <v>166</v>
      </c>
      <c r="E108" s="63" t="s">
        <v>122</v>
      </c>
      <c r="F108" s="67">
        <v>1302.1199999999999</v>
      </c>
      <c r="G108" s="63">
        <v>204.37</v>
      </c>
      <c r="H108" s="63">
        <v>17</v>
      </c>
      <c r="I108" s="64" t="s">
        <v>161</v>
      </c>
    </row>
    <row r="109" spans="2:9" ht="15" customHeight="1" x14ac:dyDescent="0.25">
      <c r="B109" s="78"/>
      <c r="C109" s="79"/>
      <c r="D109" s="59" t="s">
        <v>182</v>
      </c>
      <c r="E109" s="70" t="s">
        <v>124</v>
      </c>
      <c r="F109" s="68">
        <v>1290.3800000000001</v>
      </c>
      <c r="G109" s="70">
        <v>199.44</v>
      </c>
      <c r="H109" s="70">
        <v>22</v>
      </c>
      <c r="I109" s="65" t="s">
        <v>161</v>
      </c>
    </row>
    <row r="110" spans="2:9" ht="15" customHeight="1" x14ac:dyDescent="0.25">
      <c r="B110" s="78"/>
      <c r="C110" s="79"/>
      <c r="D110" s="59" t="s">
        <v>167</v>
      </c>
      <c r="E110" s="70" t="s">
        <v>119</v>
      </c>
      <c r="F110" s="68">
        <v>1225.19</v>
      </c>
      <c r="G110" s="70">
        <v>260.02</v>
      </c>
      <c r="H110" s="70">
        <v>18</v>
      </c>
      <c r="I110" s="65" t="s">
        <v>161</v>
      </c>
    </row>
    <row r="111" spans="2:9" ht="15" customHeight="1" x14ac:dyDescent="0.25">
      <c r="B111" s="78"/>
      <c r="C111" s="79"/>
      <c r="D111" s="59" t="s">
        <v>183</v>
      </c>
      <c r="E111" s="70" t="s">
        <v>118</v>
      </c>
      <c r="F111" s="68">
        <v>1210.54</v>
      </c>
      <c r="G111" s="70">
        <v>231.31</v>
      </c>
      <c r="H111" s="70">
        <v>22</v>
      </c>
      <c r="I111" s="65" t="s">
        <v>161</v>
      </c>
    </row>
    <row r="112" spans="2:9" ht="15" customHeight="1" thickBot="1" x14ac:dyDescent="0.3">
      <c r="B112" s="80"/>
      <c r="C112" s="81"/>
      <c r="D112" s="60" t="s">
        <v>196</v>
      </c>
      <c r="E112" s="61" t="s">
        <v>122</v>
      </c>
      <c r="F112" s="69">
        <v>1100.71</v>
      </c>
      <c r="G112" s="61">
        <v>192.86</v>
      </c>
      <c r="H112" s="61">
        <v>26</v>
      </c>
      <c r="I112" s="66" t="s">
        <v>161</v>
      </c>
    </row>
    <row r="113" spans="2:9" ht="15" customHeight="1" x14ac:dyDescent="0.25">
      <c r="B113" s="76" t="s">
        <v>173</v>
      </c>
      <c r="C113" s="77"/>
      <c r="D113" s="62" t="s">
        <v>174</v>
      </c>
      <c r="E113" s="63" t="s">
        <v>127</v>
      </c>
      <c r="F113" s="63">
        <v>20.8</v>
      </c>
      <c r="G113" s="63">
        <v>6</v>
      </c>
      <c r="H113" s="63">
        <v>15</v>
      </c>
      <c r="I113" s="64" t="s">
        <v>159</v>
      </c>
    </row>
    <row r="114" spans="2:9" ht="15" customHeight="1" x14ac:dyDescent="0.25">
      <c r="B114" s="78"/>
      <c r="C114" s="79"/>
      <c r="D114" s="59" t="s">
        <v>198</v>
      </c>
      <c r="E114" s="70" t="s">
        <v>127</v>
      </c>
      <c r="F114" s="70">
        <v>13.17</v>
      </c>
      <c r="G114" s="70">
        <v>5.68</v>
      </c>
      <c r="H114" s="70">
        <v>24</v>
      </c>
      <c r="I114" s="65" t="s">
        <v>159</v>
      </c>
    </row>
    <row r="115" spans="2:9" ht="15" customHeight="1" x14ac:dyDescent="0.25">
      <c r="B115" s="78"/>
      <c r="C115" s="79"/>
      <c r="D115" s="59" t="s">
        <v>170</v>
      </c>
      <c r="E115" s="70" t="s">
        <v>132</v>
      </c>
      <c r="F115" s="70">
        <v>12.47</v>
      </c>
      <c r="G115" s="70">
        <v>5.84</v>
      </c>
      <c r="H115" s="70">
        <v>17</v>
      </c>
      <c r="I115" s="65" t="s">
        <v>159</v>
      </c>
    </row>
    <row r="116" spans="2:9" ht="15" customHeight="1" x14ac:dyDescent="0.25">
      <c r="B116" s="78"/>
      <c r="C116" s="79"/>
      <c r="D116" s="59" t="s">
        <v>199</v>
      </c>
      <c r="E116" s="70" t="s">
        <v>126</v>
      </c>
      <c r="F116" s="70">
        <v>11.76</v>
      </c>
      <c r="G116" s="70">
        <v>4.9400000000000004</v>
      </c>
      <c r="H116" s="70">
        <v>25</v>
      </c>
      <c r="I116" s="65" t="s">
        <v>159</v>
      </c>
    </row>
    <row r="117" spans="2:9" ht="15" customHeight="1" thickBot="1" x14ac:dyDescent="0.3">
      <c r="B117" s="78"/>
      <c r="C117" s="79"/>
      <c r="D117" s="60" t="s">
        <v>169</v>
      </c>
      <c r="E117" s="61" t="s">
        <v>133</v>
      </c>
      <c r="F117" s="61">
        <v>9.4700000000000006</v>
      </c>
      <c r="G117" s="61">
        <v>5.12</v>
      </c>
      <c r="H117" s="61">
        <v>17</v>
      </c>
      <c r="I117" s="66" t="s">
        <v>159</v>
      </c>
    </row>
    <row r="118" spans="2:9" ht="15" customHeight="1" x14ac:dyDescent="0.25">
      <c r="B118" s="78"/>
      <c r="C118" s="79"/>
      <c r="D118" s="62" t="s">
        <v>177</v>
      </c>
      <c r="E118" s="63" t="s">
        <v>126</v>
      </c>
      <c r="F118" s="63">
        <v>14.46</v>
      </c>
      <c r="G118" s="63">
        <v>5.52</v>
      </c>
      <c r="H118" s="63">
        <v>26</v>
      </c>
      <c r="I118" s="64" t="s">
        <v>160</v>
      </c>
    </row>
    <row r="119" spans="2:9" ht="15" customHeight="1" x14ac:dyDescent="0.25">
      <c r="B119" s="78"/>
      <c r="C119" s="79"/>
      <c r="D119" s="59" t="s">
        <v>189</v>
      </c>
      <c r="E119" s="70" t="s">
        <v>127</v>
      </c>
      <c r="F119" s="70">
        <v>11.17</v>
      </c>
      <c r="G119" s="70">
        <v>4.4000000000000004</v>
      </c>
      <c r="H119" s="70">
        <v>18</v>
      </c>
      <c r="I119" s="65" t="s">
        <v>160</v>
      </c>
    </row>
    <row r="120" spans="2:9" ht="15" customHeight="1" x14ac:dyDescent="0.25">
      <c r="B120" s="78"/>
      <c r="C120" s="79"/>
      <c r="D120" s="59" t="s">
        <v>191</v>
      </c>
      <c r="E120" s="70" t="s">
        <v>120</v>
      </c>
      <c r="F120" s="70">
        <v>11.04</v>
      </c>
      <c r="G120" s="70">
        <v>5.65</v>
      </c>
      <c r="H120" s="70">
        <v>26</v>
      </c>
      <c r="I120" s="65" t="s">
        <v>160</v>
      </c>
    </row>
    <row r="121" spans="2:9" ht="15" customHeight="1" x14ac:dyDescent="0.25">
      <c r="B121" s="78"/>
      <c r="C121" s="79"/>
      <c r="D121" s="59" t="s">
        <v>188</v>
      </c>
      <c r="E121" s="70" t="s">
        <v>119</v>
      </c>
      <c r="F121" s="70">
        <v>10.07</v>
      </c>
      <c r="G121" s="70">
        <v>6.71</v>
      </c>
      <c r="H121" s="70">
        <v>15</v>
      </c>
      <c r="I121" s="65" t="s">
        <v>160</v>
      </c>
    </row>
    <row r="122" spans="2:9" ht="15" customHeight="1" thickBot="1" x14ac:dyDescent="0.3">
      <c r="B122" s="78"/>
      <c r="C122" s="79"/>
      <c r="D122" s="60" t="s">
        <v>185</v>
      </c>
      <c r="E122" s="61" t="s">
        <v>119</v>
      </c>
      <c r="F122" s="61">
        <v>9</v>
      </c>
      <c r="G122" s="61">
        <v>5.89</v>
      </c>
      <c r="H122" s="61">
        <v>16</v>
      </c>
      <c r="I122" s="66" t="s">
        <v>160</v>
      </c>
    </row>
    <row r="123" spans="2:9" ht="15" customHeight="1" x14ac:dyDescent="0.25">
      <c r="B123" s="78"/>
      <c r="C123" s="79"/>
      <c r="D123" s="62" t="s">
        <v>175</v>
      </c>
      <c r="E123" s="63" t="s">
        <v>126</v>
      </c>
      <c r="F123" s="63">
        <v>17.62</v>
      </c>
      <c r="G123" s="63">
        <v>6.31</v>
      </c>
      <c r="H123" s="63">
        <v>16</v>
      </c>
      <c r="I123" s="64" t="s">
        <v>161</v>
      </c>
    </row>
    <row r="124" spans="2:9" ht="15" customHeight="1" x14ac:dyDescent="0.25">
      <c r="B124" s="78"/>
      <c r="C124" s="79"/>
      <c r="D124" s="59" t="s">
        <v>176</v>
      </c>
      <c r="E124" s="70" t="s">
        <v>121</v>
      </c>
      <c r="F124" s="70">
        <v>16.05</v>
      </c>
      <c r="G124" s="70">
        <v>6.31</v>
      </c>
      <c r="H124" s="70">
        <v>20</v>
      </c>
      <c r="I124" s="65" t="s">
        <v>161</v>
      </c>
    </row>
    <row r="125" spans="2:9" ht="15" customHeight="1" x14ac:dyDescent="0.25">
      <c r="B125" s="78"/>
      <c r="C125" s="79"/>
      <c r="D125" s="59" t="s">
        <v>197</v>
      </c>
      <c r="E125" s="70" t="s">
        <v>122</v>
      </c>
      <c r="F125" s="70">
        <v>14.65</v>
      </c>
      <c r="G125" s="70">
        <v>5.54</v>
      </c>
      <c r="H125" s="70">
        <v>17</v>
      </c>
      <c r="I125" s="65" t="s">
        <v>161</v>
      </c>
    </row>
    <row r="126" spans="2:9" ht="15" customHeight="1" x14ac:dyDescent="0.25">
      <c r="B126" s="78"/>
      <c r="C126" s="79"/>
      <c r="D126" s="59" t="s">
        <v>166</v>
      </c>
      <c r="E126" s="70" t="s">
        <v>122</v>
      </c>
      <c r="F126" s="70">
        <v>14.24</v>
      </c>
      <c r="G126" s="70">
        <v>6.48</v>
      </c>
      <c r="H126" s="70">
        <v>17</v>
      </c>
      <c r="I126" s="65" t="s">
        <v>161</v>
      </c>
    </row>
    <row r="127" spans="2:9" ht="15" customHeight="1" thickBot="1" x14ac:dyDescent="0.3">
      <c r="B127" s="80"/>
      <c r="C127" s="81"/>
      <c r="D127" s="60" t="s">
        <v>200</v>
      </c>
      <c r="E127" s="61" t="s">
        <v>126</v>
      </c>
      <c r="F127" s="61">
        <v>10.74</v>
      </c>
      <c r="G127" s="61">
        <v>4.53</v>
      </c>
      <c r="H127" s="61">
        <v>19</v>
      </c>
      <c r="I127" s="66" t="s">
        <v>161</v>
      </c>
    </row>
    <row r="128" spans="2:9" ht="15" customHeight="1" x14ac:dyDescent="0.25">
      <c r="B128" s="76" t="s">
        <v>6</v>
      </c>
      <c r="C128" s="77"/>
      <c r="D128" s="62" t="s">
        <v>170</v>
      </c>
      <c r="E128" s="63" t="s">
        <v>132</v>
      </c>
      <c r="F128" s="63">
        <v>537.80999999999995</v>
      </c>
      <c r="G128" s="63">
        <v>46.43</v>
      </c>
      <c r="H128" s="63">
        <v>17</v>
      </c>
      <c r="I128" s="64" t="s">
        <v>159</v>
      </c>
    </row>
    <row r="129" spans="2:9" ht="15" customHeight="1" x14ac:dyDescent="0.25">
      <c r="B129" s="78"/>
      <c r="C129" s="79"/>
      <c r="D129" s="59" t="s">
        <v>164</v>
      </c>
      <c r="E129" s="70" t="s">
        <v>128</v>
      </c>
      <c r="F129" s="70">
        <v>508.58</v>
      </c>
      <c r="G129" s="70">
        <v>29.36</v>
      </c>
      <c r="H129" s="70">
        <v>22</v>
      </c>
      <c r="I129" s="65" t="s">
        <v>159</v>
      </c>
    </row>
    <row r="130" spans="2:9" ht="15" customHeight="1" x14ac:dyDescent="0.25">
      <c r="B130" s="78"/>
      <c r="C130" s="79"/>
      <c r="D130" s="59" t="s">
        <v>168</v>
      </c>
      <c r="E130" s="70" t="s">
        <v>126</v>
      </c>
      <c r="F130" s="70">
        <v>492.33</v>
      </c>
      <c r="G130" s="70">
        <v>47.08</v>
      </c>
      <c r="H130" s="70">
        <v>15</v>
      </c>
      <c r="I130" s="65" t="s">
        <v>159</v>
      </c>
    </row>
    <row r="131" spans="2:9" ht="15" customHeight="1" x14ac:dyDescent="0.25">
      <c r="B131" s="78"/>
      <c r="C131" s="79"/>
      <c r="D131" s="59" t="s">
        <v>174</v>
      </c>
      <c r="E131" s="70" t="s">
        <v>127</v>
      </c>
      <c r="F131" s="70">
        <v>481.32</v>
      </c>
      <c r="G131" s="70">
        <v>25.82</v>
      </c>
      <c r="H131" s="70">
        <v>15</v>
      </c>
      <c r="I131" s="65" t="s">
        <v>159</v>
      </c>
    </row>
    <row r="132" spans="2:9" ht="15" customHeight="1" thickBot="1" x14ac:dyDescent="0.3">
      <c r="B132" s="78"/>
      <c r="C132" s="79"/>
      <c r="D132" s="60" t="s">
        <v>169</v>
      </c>
      <c r="E132" s="61" t="s">
        <v>133</v>
      </c>
      <c r="F132" s="61">
        <v>480.67</v>
      </c>
      <c r="G132" s="61">
        <v>33.770000000000003</v>
      </c>
      <c r="H132" s="61">
        <v>17</v>
      </c>
      <c r="I132" s="66" t="s">
        <v>159</v>
      </c>
    </row>
    <row r="133" spans="2:9" ht="15" customHeight="1" x14ac:dyDescent="0.25">
      <c r="B133" s="78"/>
      <c r="C133" s="79"/>
      <c r="D133" s="62" t="s">
        <v>162</v>
      </c>
      <c r="E133" s="63" t="s">
        <v>118</v>
      </c>
      <c r="F133" s="63">
        <v>530.62</v>
      </c>
      <c r="G133" s="63">
        <v>72.17</v>
      </c>
      <c r="H133" s="63">
        <v>16</v>
      </c>
      <c r="I133" s="64" t="s">
        <v>160</v>
      </c>
    </row>
    <row r="134" spans="2:9" ht="15" customHeight="1" x14ac:dyDescent="0.25">
      <c r="B134" s="78"/>
      <c r="C134" s="79"/>
      <c r="D134" s="59" t="s">
        <v>177</v>
      </c>
      <c r="E134" s="70" t="s">
        <v>126</v>
      </c>
      <c r="F134" s="70">
        <v>515.57000000000005</v>
      </c>
      <c r="G134" s="70">
        <v>59.3</v>
      </c>
      <c r="H134" s="70">
        <v>26</v>
      </c>
      <c r="I134" s="65" t="s">
        <v>160</v>
      </c>
    </row>
    <row r="135" spans="2:9" ht="15" customHeight="1" x14ac:dyDescent="0.25">
      <c r="B135" s="78"/>
      <c r="C135" s="79"/>
      <c r="D135" s="59" t="s">
        <v>191</v>
      </c>
      <c r="E135" s="70" t="s">
        <v>120</v>
      </c>
      <c r="F135" s="70">
        <v>496.31</v>
      </c>
      <c r="G135" s="70">
        <v>30.19</v>
      </c>
      <c r="H135" s="70">
        <v>26</v>
      </c>
      <c r="I135" s="65" t="s">
        <v>160</v>
      </c>
    </row>
    <row r="136" spans="2:9" ht="15" customHeight="1" x14ac:dyDescent="0.25">
      <c r="B136" s="78"/>
      <c r="C136" s="79"/>
      <c r="D136" s="59" t="s">
        <v>189</v>
      </c>
      <c r="E136" s="70" t="s">
        <v>127</v>
      </c>
      <c r="F136" s="70">
        <v>483.97</v>
      </c>
      <c r="G136" s="70">
        <v>31.87</v>
      </c>
      <c r="H136" s="70">
        <v>18</v>
      </c>
      <c r="I136" s="65" t="s">
        <v>160</v>
      </c>
    </row>
    <row r="137" spans="2:9" ht="15" customHeight="1" thickBot="1" x14ac:dyDescent="0.3">
      <c r="B137" s="78"/>
      <c r="C137" s="79"/>
      <c r="D137" s="60" t="s">
        <v>195</v>
      </c>
      <c r="E137" s="61" t="s">
        <v>121</v>
      </c>
      <c r="F137" s="61">
        <v>475.59</v>
      </c>
      <c r="G137" s="61">
        <v>48.11</v>
      </c>
      <c r="H137" s="61">
        <v>19</v>
      </c>
      <c r="I137" s="66" t="s">
        <v>160</v>
      </c>
    </row>
    <row r="138" spans="2:9" ht="15" customHeight="1" x14ac:dyDescent="0.25">
      <c r="B138" s="78"/>
      <c r="C138" s="79"/>
      <c r="D138" s="62" t="s">
        <v>166</v>
      </c>
      <c r="E138" s="63" t="s">
        <v>122</v>
      </c>
      <c r="F138" s="63">
        <v>501.27</v>
      </c>
      <c r="G138" s="63">
        <v>69.680000000000007</v>
      </c>
      <c r="H138" s="63">
        <v>17</v>
      </c>
      <c r="I138" s="64" t="s">
        <v>161</v>
      </c>
    </row>
    <row r="139" spans="2:9" ht="15" customHeight="1" x14ac:dyDescent="0.25">
      <c r="B139" s="78"/>
      <c r="C139" s="79"/>
      <c r="D139" s="59" t="s">
        <v>167</v>
      </c>
      <c r="E139" s="70" t="s">
        <v>119</v>
      </c>
      <c r="F139" s="70">
        <v>459.6</v>
      </c>
      <c r="G139" s="70">
        <v>82.54</v>
      </c>
      <c r="H139" s="70">
        <v>18</v>
      </c>
      <c r="I139" s="65" t="s">
        <v>161</v>
      </c>
    </row>
    <row r="140" spans="2:9" ht="15" customHeight="1" x14ac:dyDescent="0.25">
      <c r="B140" s="78"/>
      <c r="C140" s="79"/>
      <c r="D140" s="59" t="s">
        <v>203</v>
      </c>
      <c r="E140" s="70" t="s">
        <v>129</v>
      </c>
      <c r="F140" s="70">
        <v>438.12</v>
      </c>
      <c r="G140" s="70">
        <v>110.38</v>
      </c>
      <c r="H140" s="70">
        <v>18</v>
      </c>
      <c r="I140" s="65" t="s">
        <v>161</v>
      </c>
    </row>
    <row r="141" spans="2:9" ht="15" customHeight="1" x14ac:dyDescent="0.25">
      <c r="B141" s="78"/>
      <c r="C141" s="79"/>
      <c r="D141" s="59" t="s">
        <v>182</v>
      </c>
      <c r="E141" s="70" t="s">
        <v>124</v>
      </c>
      <c r="F141" s="70">
        <v>433.17</v>
      </c>
      <c r="G141" s="70">
        <v>65.27</v>
      </c>
      <c r="H141" s="70">
        <v>22</v>
      </c>
      <c r="I141" s="65" t="s">
        <v>161</v>
      </c>
    </row>
    <row r="142" spans="2:9" ht="15" customHeight="1" thickBot="1" x14ac:dyDescent="0.3">
      <c r="B142" s="80"/>
      <c r="C142" s="81"/>
      <c r="D142" s="60" t="s">
        <v>183</v>
      </c>
      <c r="E142" s="61" t="s">
        <v>118</v>
      </c>
      <c r="F142" s="61">
        <v>419.72</v>
      </c>
      <c r="G142" s="61">
        <v>74.73</v>
      </c>
      <c r="H142" s="61">
        <v>22</v>
      </c>
      <c r="I142" s="66" t="s">
        <v>161</v>
      </c>
    </row>
    <row r="143" spans="2:9" ht="15" customHeight="1" x14ac:dyDescent="0.25">
      <c r="B143" s="76" t="s">
        <v>3</v>
      </c>
      <c r="C143" s="77"/>
      <c r="D143" s="62" t="s">
        <v>165</v>
      </c>
      <c r="E143" s="63" t="s">
        <v>128</v>
      </c>
      <c r="F143" s="63">
        <v>96.18</v>
      </c>
      <c r="G143" s="63">
        <v>11.05</v>
      </c>
      <c r="H143" s="63">
        <v>22</v>
      </c>
      <c r="I143" s="64" t="s">
        <v>159</v>
      </c>
    </row>
    <row r="144" spans="2:9" ht="15" customHeight="1" x14ac:dyDescent="0.25">
      <c r="B144" s="78"/>
      <c r="C144" s="79"/>
      <c r="D144" s="59" t="s">
        <v>169</v>
      </c>
      <c r="E144" s="70" t="s">
        <v>133</v>
      </c>
      <c r="F144" s="70">
        <v>87.18</v>
      </c>
      <c r="G144" s="70">
        <v>8.57</v>
      </c>
      <c r="H144" s="70">
        <v>17</v>
      </c>
      <c r="I144" s="65" t="s">
        <v>159</v>
      </c>
    </row>
    <row r="145" spans="2:9" ht="15" customHeight="1" x14ac:dyDescent="0.25">
      <c r="B145" s="78"/>
      <c r="C145" s="79"/>
      <c r="D145" s="59" t="s">
        <v>180</v>
      </c>
      <c r="E145" s="70" t="s">
        <v>132</v>
      </c>
      <c r="F145" s="70">
        <v>86.6</v>
      </c>
      <c r="G145" s="70">
        <v>13.73</v>
      </c>
      <c r="H145" s="70">
        <v>15</v>
      </c>
      <c r="I145" s="65" t="s">
        <v>159</v>
      </c>
    </row>
    <row r="146" spans="2:9" ht="15" customHeight="1" x14ac:dyDescent="0.25">
      <c r="B146" s="78"/>
      <c r="C146" s="79"/>
      <c r="D146" s="59" t="s">
        <v>170</v>
      </c>
      <c r="E146" s="70" t="s">
        <v>132</v>
      </c>
      <c r="F146" s="70">
        <v>86.06</v>
      </c>
      <c r="G146" s="70">
        <v>13.71</v>
      </c>
      <c r="H146" s="70">
        <v>17</v>
      </c>
      <c r="I146" s="65" t="s">
        <v>159</v>
      </c>
    </row>
    <row r="147" spans="2:9" ht="15" customHeight="1" thickBot="1" x14ac:dyDescent="0.3">
      <c r="B147" s="78"/>
      <c r="C147" s="79"/>
      <c r="D147" s="60" t="s">
        <v>184</v>
      </c>
      <c r="E147" s="61" t="s">
        <v>131</v>
      </c>
      <c r="F147" s="61">
        <v>84.94</v>
      </c>
      <c r="G147" s="61">
        <v>21.65</v>
      </c>
      <c r="H147" s="61">
        <v>18</v>
      </c>
      <c r="I147" s="66" t="s">
        <v>159</v>
      </c>
    </row>
    <row r="148" spans="2:9" ht="15" customHeight="1" x14ac:dyDescent="0.25">
      <c r="B148" s="78"/>
      <c r="C148" s="79"/>
      <c r="D148" s="62" t="s">
        <v>177</v>
      </c>
      <c r="E148" s="63" t="s">
        <v>126</v>
      </c>
      <c r="F148" s="63">
        <v>90.23</v>
      </c>
      <c r="G148" s="63">
        <v>15.62</v>
      </c>
      <c r="H148" s="63">
        <v>26</v>
      </c>
      <c r="I148" s="64" t="s">
        <v>160</v>
      </c>
    </row>
    <row r="149" spans="2:9" ht="15" customHeight="1" x14ac:dyDescent="0.25">
      <c r="B149" s="78"/>
      <c r="C149" s="79"/>
      <c r="D149" s="59" t="s">
        <v>181</v>
      </c>
      <c r="E149" s="70" t="s">
        <v>123</v>
      </c>
      <c r="F149" s="70">
        <v>87.91</v>
      </c>
      <c r="G149" s="70">
        <v>13.98</v>
      </c>
      <c r="H149" s="70">
        <v>22</v>
      </c>
      <c r="I149" s="65" t="s">
        <v>160</v>
      </c>
    </row>
    <row r="150" spans="2:9" ht="15" customHeight="1" x14ac:dyDescent="0.25">
      <c r="B150" s="78"/>
      <c r="C150" s="79"/>
      <c r="D150" s="59" t="s">
        <v>204</v>
      </c>
      <c r="E150" s="70" t="s">
        <v>128</v>
      </c>
      <c r="F150" s="70">
        <v>86.68</v>
      </c>
      <c r="G150" s="70">
        <v>18.89</v>
      </c>
      <c r="H150" s="70">
        <v>19</v>
      </c>
      <c r="I150" s="65" t="s">
        <v>160</v>
      </c>
    </row>
    <row r="151" spans="2:9" ht="15" customHeight="1" x14ac:dyDescent="0.25">
      <c r="B151" s="78"/>
      <c r="C151" s="79"/>
      <c r="D151" s="59" t="s">
        <v>185</v>
      </c>
      <c r="E151" s="70" t="s">
        <v>119</v>
      </c>
      <c r="F151" s="70">
        <v>86</v>
      </c>
      <c r="G151" s="70">
        <v>12.31</v>
      </c>
      <c r="H151" s="70">
        <v>16</v>
      </c>
      <c r="I151" s="65" t="s">
        <v>160</v>
      </c>
    </row>
    <row r="152" spans="2:9" ht="15" customHeight="1" thickBot="1" x14ac:dyDescent="0.3">
      <c r="B152" s="78"/>
      <c r="C152" s="79"/>
      <c r="D152" s="60" t="s">
        <v>186</v>
      </c>
      <c r="E152" s="61" t="s">
        <v>128</v>
      </c>
      <c r="F152" s="61">
        <v>84.47</v>
      </c>
      <c r="G152" s="61">
        <v>18.260000000000002</v>
      </c>
      <c r="H152" s="61">
        <v>15</v>
      </c>
      <c r="I152" s="66" t="s">
        <v>160</v>
      </c>
    </row>
    <row r="153" spans="2:9" ht="15" customHeight="1" x14ac:dyDescent="0.25">
      <c r="B153" s="78"/>
      <c r="C153" s="79"/>
      <c r="D153" s="62" t="s">
        <v>183</v>
      </c>
      <c r="E153" s="63" t="s">
        <v>118</v>
      </c>
      <c r="F153" s="63">
        <v>88.5</v>
      </c>
      <c r="G153" s="63">
        <v>19.350000000000001</v>
      </c>
      <c r="H153" s="63">
        <v>22</v>
      </c>
      <c r="I153" s="64" t="s">
        <v>161</v>
      </c>
    </row>
    <row r="154" spans="2:9" ht="15" customHeight="1" x14ac:dyDescent="0.25">
      <c r="B154" s="78"/>
      <c r="C154" s="79"/>
      <c r="D154" s="59" t="s">
        <v>182</v>
      </c>
      <c r="E154" s="70" t="s">
        <v>124</v>
      </c>
      <c r="F154" s="70">
        <v>83.95</v>
      </c>
      <c r="G154" s="70">
        <v>15.02</v>
      </c>
      <c r="H154" s="70">
        <v>22</v>
      </c>
      <c r="I154" s="65" t="s">
        <v>161</v>
      </c>
    </row>
    <row r="155" spans="2:9" ht="15" customHeight="1" x14ac:dyDescent="0.25">
      <c r="B155" s="78"/>
      <c r="C155" s="79"/>
      <c r="D155" s="59" t="s">
        <v>166</v>
      </c>
      <c r="E155" s="70" t="s">
        <v>122</v>
      </c>
      <c r="F155" s="70">
        <v>82.71</v>
      </c>
      <c r="G155" s="70">
        <v>15.08</v>
      </c>
      <c r="H155" s="70">
        <v>17</v>
      </c>
      <c r="I155" s="65" t="s">
        <v>161</v>
      </c>
    </row>
    <row r="156" spans="2:9" ht="15" customHeight="1" x14ac:dyDescent="0.25">
      <c r="B156" s="78"/>
      <c r="C156" s="79"/>
      <c r="D156" s="59" t="s">
        <v>167</v>
      </c>
      <c r="E156" s="70" t="s">
        <v>119</v>
      </c>
      <c r="F156" s="70">
        <v>81.67</v>
      </c>
      <c r="G156" s="70">
        <v>21.87</v>
      </c>
      <c r="H156" s="70">
        <v>18</v>
      </c>
      <c r="I156" s="65" t="s">
        <v>161</v>
      </c>
    </row>
    <row r="157" spans="2:9" ht="15" customHeight="1" thickBot="1" x14ac:dyDescent="0.3">
      <c r="B157" s="80"/>
      <c r="C157" s="81"/>
      <c r="D157" s="60" t="s">
        <v>196</v>
      </c>
      <c r="E157" s="61" t="s">
        <v>122</v>
      </c>
      <c r="F157" s="61">
        <v>73.69</v>
      </c>
      <c r="G157" s="61">
        <v>17.059999999999999</v>
      </c>
      <c r="H157" s="61">
        <v>26</v>
      </c>
      <c r="I157" s="66" t="s">
        <v>161</v>
      </c>
    </row>
    <row r="158" spans="2:9" ht="15" customHeight="1" x14ac:dyDescent="0.25">
      <c r="B158" s="76" t="s">
        <v>8</v>
      </c>
      <c r="C158" s="77"/>
      <c r="D158" s="62" t="s">
        <v>165</v>
      </c>
      <c r="E158" s="63" t="s">
        <v>128</v>
      </c>
      <c r="F158" s="63">
        <v>18.149999999999999</v>
      </c>
      <c r="G158" s="63">
        <v>1.21</v>
      </c>
      <c r="H158" s="63">
        <v>22</v>
      </c>
      <c r="I158" s="64" t="s">
        <v>159</v>
      </c>
    </row>
    <row r="159" spans="2:9" ht="15" customHeight="1" x14ac:dyDescent="0.25">
      <c r="B159" s="78"/>
      <c r="C159" s="79"/>
      <c r="D159" s="59" t="s">
        <v>169</v>
      </c>
      <c r="E159" s="70" t="s">
        <v>133</v>
      </c>
      <c r="F159" s="70">
        <v>17.59</v>
      </c>
      <c r="G159" s="70">
        <v>0.97</v>
      </c>
      <c r="H159" s="70">
        <v>17</v>
      </c>
      <c r="I159" s="65" t="s">
        <v>159</v>
      </c>
    </row>
    <row r="160" spans="2:9" ht="15" customHeight="1" x14ac:dyDescent="0.25">
      <c r="B160" s="78"/>
      <c r="C160" s="79"/>
      <c r="D160" s="59" t="s">
        <v>170</v>
      </c>
      <c r="E160" s="70" t="s">
        <v>132</v>
      </c>
      <c r="F160" s="70">
        <v>17.57</v>
      </c>
      <c r="G160" s="70">
        <v>1.63</v>
      </c>
      <c r="H160" s="70">
        <v>17</v>
      </c>
      <c r="I160" s="65" t="s">
        <v>159</v>
      </c>
    </row>
    <row r="161" spans="2:9" ht="15" customHeight="1" x14ac:dyDescent="0.25">
      <c r="B161" s="78"/>
      <c r="C161" s="79"/>
      <c r="D161" s="59" t="s">
        <v>168</v>
      </c>
      <c r="E161" s="70" t="s">
        <v>126</v>
      </c>
      <c r="F161" s="70">
        <v>17.13</v>
      </c>
      <c r="G161" s="70">
        <v>1.54</v>
      </c>
      <c r="H161" s="70">
        <v>15</v>
      </c>
      <c r="I161" s="65" t="s">
        <v>159</v>
      </c>
    </row>
    <row r="162" spans="2:9" ht="15" customHeight="1" thickBot="1" x14ac:dyDescent="0.3">
      <c r="B162" s="78"/>
      <c r="C162" s="79"/>
      <c r="D162" s="60" t="s">
        <v>180</v>
      </c>
      <c r="E162" s="61" t="s">
        <v>132</v>
      </c>
      <c r="F162" s="61">
        <v>17.100000000000001</v>
      </c>
      <c r="G162" s="61">
        <v>0.89</v>
      </c>
      <c r="H162" s="61">
        <v>15</v>
      </c>
      <c r="I162" s="66" t="s">
        <v>159</v>
      </c>
    </row>
    <row r="163" spans="2:9" ht="15" customHeight="1" x14ac:dyDescent="0.25">
      <c r="B163" s="78"/>
      <c r="C163" s="79"/>
      <c r="D163" s="62" t="s">
        <v>181</v>
      </c>
      <c r="E163" s="63" t="s">
        <v>123</v>
      </c>
      <c r="F163" s="63">
        <v>18.309999999999999</v>
      </c>
      <c r="G163" s="63">
        <v>1.84</v>
      </c>
      <c r="H163" s="63">
        <v>22</v>
      </c>
      <c r="I163" s="64" t="s">
        <v>160</v>
      </c>
    </row>
    <row r="164" spans="2:9" ht="15" customHeight="1" x14ac:dyDescent="0.25">
      <c r="B164" s="78"/>
      <c r="C164" s="79"/>
      <c r="D164" s="59" t="s">
        <v>191</v>
      </c>
      <c r="E164" s="70" t="s">
        <v>120</v>
      </c>
      <c r="F164" s="70">
        <v>17.93</v>
      </c>
      <c r="G164" s="70">
        <v>1.1000000000000001</v>
      </c>
      <c r="H164" s="70">
        <v>26</v>
      </c>
      <c r="I164" s="65" t="s">
        <v>160</v>
      </c>
    </row>
    <row r="165" spans="2:9" ht="15" customHeight="1" x14ac:dyDescent="0.25">
      <c r="B165" s="78"/>
      <c r="C165" s="79"/>
      <c r="D165" s="59" t="s">
        <v>194</v>
      </c>
      <c r="E165" s="70" t="s">
        <v>127</v>
      </c>
      <c r="F165" s="70">
        <v>17.87</v>
      </c>
      <c r="G165" s="70">
        <v>0.95</v>
      </c>
      <c r="H165" s="70">
        <v>24</v>
      </c>
      <c r="I165" s="65" t="s">
        <v>160</v>
      </c>
    </row>
    <row r="166" spans="2:9" ht="15" customHeight="1" x14ac:dyDescent="0.25">
      <c r="B166" s="78"/>
      <c r="C166" s="79"/>
      <c r="D166" s="59" t="s">
        <v>189</v>
      </c>
      <c r="E166" s="70" t="s">
        <v>127</v>
      </c>
      <c r="F166" s="70">
        <v>17.600000000000001</v>
      </c>
      <c r="G166" s="70">
        <v>1.1100000000000001</v>
      </c>
      <c r="H166" s="70">
        <v>18</v>
      </c>
      <c r="I166" s="65" t="s">
        <v>160</v>
      </c>
    </row>
    <row r="167" spans="2:9" ht="15" customHeight="1" thickBot="1" x14ac:dyDescent="0.3">
      <c r="B167" s="78"/>
      <c r="C167" s="79"/>
      <c r="D167" s="60" t="s">
        <v>177</v>
      </c>
      <c r="E167" s="61" t="s">
        <v>126</v>
      </c>
      <c r="F167" s="61">
        <v>17.329999999999998</v>
      </c>
      <c r="G167" s="61">
        <v>2.0699999999999998</v>
      </c>
      <c r="H167" s="61">
        <v>26</v>
      </c>
      <c r="I167" s="66" t="s">
        <v>160</v>
      </c>
    </row>
    <row r="168" spans="2:9" ht="15" customHeight="1" x14ac:dyDescent="0.25">
      <c r="B168" s="78"/>
      <c r="C168" s="79"/>
      <c r="D168" s="62" t="s">
        <v>166</v>
      </c>
      <c r="E168" s="63" t="s">
        <v>122</v>
      </c>
      <c r="F168" s="63">
        <v>17.61</v>
      </c>
      <c r="G168" s="63">
        <v>2.86</v>
      </c>
      <c r="H168" s="63">
        <v>17</v>
      </c>
      <c r="I168" s="64" t="s">
        <v>161</v>
      </c>
    </row>
    <row r="169" spans="2:9" ht="15" customHeight="1" x14ac:dyDescent="0.25">
      <c r="B169" s="78"/>
      <c r="C169" s="79"/>
      <c r="D169" s="59" t="s">
        <v>182</v>
      </c>
      <c r="E169" s="70" t="s">
        <v>124</v>
      </c>
      <c r="F169" s="70">
        <v>17.37</v>
      </c>
      <c r="G169" s="70">
        <v>2.4900000000000002</v>
      </c>
      <c r="H169" s="70">
        <v>22</v>
      </c>
      <c r="I169" s="65" t="s">
        <v>161</v>
      </c>
    </row>
    <row r="170" spans="2:9" ht="15" customHeight="1" x14ac:dyDescent="0.25">
      <c r="B170" s="78"/>
      <c r="C170" s="79"/>
      <c r="D170" s="59" t="s">
        <v>183</v>
      </c>
      <c r="E170" s="70" t="s">
        <v>118</v>
      </c>
      <c r="F170" s="70">
        <v>16.510000000000002</v>
      </c>
      <c r="G170" s="70">
        <v>3.22</v>
      </c>
      <c r="H170" s="70">
        <v>22</v>
      </c>
      <c r="I170" s="65" t="s">
        <v>161</v>
      </c>
    </row>
    <row r="171" spans="2:9" ht="15" customHeight="1" x14ac:dyDescent="0.25">
      <c r="B171" s="78"/>
      <c r="C171" s="79"/>
      <c r="D171" s="59" t="s">
        <v>167</v>
      </c>
      <c r="E171" s="70" t="s">
        <v>119</v>
      </c>
      <c r="F171" s="70">
        <v>16.41</v>
      </c>
      <c r="G171" s="70">
        <v>3.37</v>
      </c>
      <c r="H171" s="70">
        <v>18</v>
      </c>
      <c r="I171" s="65" t="s">
        <v>161</v>
      </c>
    </row>
    <row r="172" spans="2:9" ht="15" customHeight="1" thickBot="1" x14ac:dyDescent="0.3">
      <c r="B172" s="80"/>
      <c r="C172" s="81"/>
      <c r="D172" s="60" t="s">
        <v>196</v>
      </c>
      <c r="E172" s="61" t="s">
        <v>122</v>
      </c>
      <c r="F172" s="61">
        <v>14.8</v>
      </c>
      <c r="G172" s="61">
        <v>2.57</v>
      </c>
      <c r="H172" s="61">
        <v>26</v>
      </c>
      <c r="I172" s="66" t="s">
        <v>161</v>
      </c>
    </row>
    <row r="173" spans="2:9" ht="15" customHeight="1" x14ac:dyDescent="0.25">
      <c r="B173" s="76" t="s">
        <v>2</v>
      </c>
      <c r="C173" s="77"/>
      <c r="D173" s="62" t="s">
        <v>165</v>
      </c>
      <c r="E173" s="63" t="s">
        <v>128</v>
      </c>
      <c r="F173" s="67">
        <v>1571.16</v>
      </c>
      <c r="G173" s="63">
        <v>234.16</v>
      </c>
      <c r="H173" s="63">
        <v>22</v>
      </c>
      <c r="I173" s="64" t="s">
        <v>159</v>
      </c>
    </row>
    <row r="174" spans="2:9" ht="15" customHeight="1" x14ac:dyDescent="0.25">
      <c r="B174" s="78"/>
      <c r="C174" s="79"/>
      <c r="D174" s="59" t="s">
        <v>184</v>
      </c>
      <c r="E174" s="70" t="s">
        <v>131</v>
      </c>
      <c r="F174" s="68">
        <v>1399.98</v>
      </c>
      <c r="G174" s="70">
        <v>428.3</v>
      </c>
      <c r="H174" s="70">
        <v>18</v>
      </c>
      <c r="I174" s="65" t="s">
        <v>159</v>
      </c>
    </row>
    <row r="175" spans="2:9" ht="15" customHeight="1" x14ac:dyDescent="0.25">
      <c r="B175" s="78"/>
      <c r="C175" s="79"/>
      <c r="D175" s="59" t="s">
        <v>169</v>
      </c>
      <c r="E175" s="70" t="s">
        <v>133</v>
      </c>
      <c r="F175" s="68">
        <v>1388.73</v>
      </c>
      <c r="G175" s="70">
        <v>202.88</v>
      </c>
      <c r="H175" s="70">
        <v>17</v>
      </c>
      <c r="I175" s="65" t="s">
        <v>159</v>
      </c>
    </row>
    <row r="176" spans="2:9" ht="15" customHeight="1" x14ac:dyDescent="0.25">
      <c r="B176" s="78"/>
      <c r="C176" s="79"/>
      <c r="D176" s="59" t="s">
        <v>178</v>
      </c>
      <c r="E176" s="70" t="s">
        <v>118</v>
      </c>
      <c r="F176" s="68">
        <v>1354.15</v>
      </c>
      <c r="G176" s="70">
        <v>380.59</v>
      </c>
      <c r="H176" s="70">
        <v>23</v>
      </c>
      <c r="I176" s="65" t="s">
        <v>159</v>
      </c>
    </row>
    <row r="177" spans="2:9" ht="15" customHeight="1" thickBot="1" x14ac:dyDescent="0.3">
      <c r="B177" s="78"/>
      <c r="C177" s="79"/>
      <c r="D177" s="60" t="s">
        <v>180</v>
      </c>
      <c r="E177" s="61" t="s">
        <v>132</v>
      </c>
      <c r="F177" s="69">
        <v>1318.12</v>
      </c>
      <c r="G177" s="61">
        <v>334.24</v>
      </c>
      <c r="H177" s="61">
        <v>15</v>
      </c>
      <c r="I177" s="66" t="s">
        <v>159</v>
      </c>
    </row>
    <row r="178" spans="2:9" ht="15" customHeight="1" x14ac:dyDescent="0.25">
      <c r="B178" s="78"/>
      <c r="C178" s="79"/>
      <c r="D178" s="62" t="s">
        <v>185</v>
      </c>
      <c r="E178" s="63" t="s">
        <v>119</v>
      </c>
      <c r="F178" s="67">
        <v>1394.08</v>
      </c>
      <c r="G178" s="63">
        <v>288.76</v>
      </c>
      <c r="H178" s="63">
        <v>16</v>
      </c>
      <c r="I178" s="64" t="s">
        <v>160</v>
      </c>
    </row>
    <row r="179" spans="2:9" ht="15" customHeight="1" x14ac:dyDescent="0.25">
      <c r="B179" s="78"/>
      <c r="C179" s="79"/>
      <c r="D179" s="59" t="s">
        <v>186</v>
      </c>
      <c r="E179" s="70" t="s">
        <v>128</v>
      </c>
      <c r="F179" s="68">
        <v>1296.1300000000001</v>
      </c>
      <c r="G179" s="70">
        <v>285.10000000000002</v>
      </c>
      <c r="H179" s="70">
        <v>15</v>
      </c>
      <c r="I179" s="65" t="s">
        <v>160</v>
      </c>
    </row>
    <row r="180" spans="2:9" ht="15" customHeight="1" x14ac:dyDescent="0.25">
      <c r="B180" s="78"/>
      <c r="C180" s="79"/>
      <c r="D180" s="59" t="s">
        <v>177</v>
      </c>
      <c r="E180" s="70" t="s">
        <v>126</v>
      </c>
      <c r="F180" s="68">
        <v>1222.1500000000001</v>
      </c>
      <c r="G180" s="70">
        <v>279.95</v>
      </c>
      <c r="H180" s="70">
        <v>26</v>
      </c>
      <c r="I180" s="65" t="s">
        <v>160</v>
      </c>
    </row>
    <row r="181" spans="2:9" ht="15" customHeight="1" x14ac:dyDescent="0.25">
      <c r="B181" s="78"/>
      <c r="C181" s="79"/>
      <c r="D181" s="59" t="s">
        <v>204</v>
      </c>
      <c r="E181" s="70" t="s">
        <v>128</v>
      </c>
      <c r="F181" s="68">
        <v>1179.6099999999999</v>
      </c>
      <c r="G181" s="70">
        <v>291.47000000000003</v>
      </c>
      <c r="H181" s="70">
        <v>19</v>
      </c>
      <c r="I181" s="65" t="s">
        <v>160</v>
      </c>
    </row>
    <row r="182" spans="2:9" ht="15" customHeight="1" thickBot="1" x14ac:dyDescent="0.3">
      <c r="B182" s="78"/>
      <c r="C182" s="79"/>
      <c r="D182" s="60" t="s">
        <v>195</v>
      </c>
      <c r="E182" s="61" t="s">
        <v>121</v>
      </c>
      <c r="F182" s="69">
        <v>1172.76</v>
      </c>
      <c r="G182" s="61">
        <v>256.97000000000003</v>
      </c>
      <c r="H182" s="61">
        <v>19</v>
      </c>
      <c r="I182" s="66" t="s">
        <v>160</v>
      </c>
    </row>
    <row r="183" spans="2:9" ht="15" customHeight="1" x14ac:dyDescent="0.25">
      <c r="B183" s="78"/>
      <c r="C183" s="79"/>
      <c r="D183" s="62" t="s">
        <v>182</v>
      </c>
      <c r="E183" s="63" t="s">
        <v>124</v>
      </c>
      <c r="F183" s="67">
        <v>1553.09</v>
      </c>
      <c r="G183" s="63">
        <v>297.02999999999997</v>
      </c>
      <c r="H183" s="63">
        <v>22</v>
      </c>
      <c r="I183" s="64" t="s">
        <v>161</v>
      </c>
    </row>
    <row r="184" spans="2:9" ht="15" customHeight="1" x14ac:dyDescent="0.25">
      <c r="B184" s="78"/>
      <c r="C184" s="79"/>
      <c r="D184" s="59" t="s">
        <v>183</v>
      </c>
      <c r="E184" s="70" t="s">
        <v>118</v>
      </c>
      <c r="F184" s="68">
        <v>1509.75</v>
      </c>
      <c r="G184" s="70">
        <v>327.89</v>
      </c>
      <c r="H184" s="70">
        <v>22</v>
      </c>
      <c r="I184" s="65" t="s">
        <v>161</v>
      </c>
    </row>
    <row r="185" spans="2:9" ht="15" customHeight="1" x14ac:dyDescent="0.25">
      <c r="B185" s="78"/>
      <c r="C185" s="79"/>
      <c r="D185" s="59" t="s">
        <v>167</v>
      </c>
      <c r="E185" s="70" t="s">
        <v>119</v>
      </c>
      <c r="F185" s="68">
        <v>1368.74</v>
      </c>
      <c r="G185" s="70">
        <v>458.69</v>
      </c>
      <c r="H185" s="70">
        <v>18</v>
      </c>
      <c r="I185" s="65" t="s">
        <v>161</v>
      </c>
    </row>
    <row r="186" spans="2:9" ht="15" customHeight="1" x14ac:dyDescent="0.25">
      <c r="B186" s="78"/>
      <c r="C186" s="79"/>
      <c r="D186" s="59" t="s">
        <v>166</v>
      </c>
      <c r="E186" s="70" t="s">
        <v>122</v>
      </c>
      <c r="F186" s="68">
        <v>1205.8900000000001</v>
      </c>
      <c r="G186" s="70">
        <v>246.25</v>
      </c>
      <c r="H186" s="70">
        <v>17</v>
      </c>
      <c r="I186" s="65" t="s">
        <v>161</v>
      </c>
    </row>
    <row r="187" spans="2:9" ht="15" customHeight="1" thickBot="1" x14ac:dyDescent="0.3">
      <c r="B187" s="80"/>
      <c r="C187" s="81"/>
      <c r="D187" s="60" t="s">
        <v>200</v>
      </c>
      <c r="E187" s="61" t="s">
        <v>126</v>
      </c>
      <c r="F187" s="69">
        <v>1132.1199999999999</v>
      </c>
      <c r="G187" s="61">
        <v>331.53</v>
      </c>
      <c r="H187" s="61">
        <v>19</v>
      </c>
      <c r="I187" s="66" t="s">
        <v>161</v>
      </c>
    </row>
    <row r="188" spans="2:9" ht="15" customHeight="1" x14ac:dyDescent="0.25">
      <c r="B188" s="76" t="s">
        <v>7</v>
      </c>
      <c r="C188" s="77"/>
      <c r="D188" s="62" t="s">
        <v>178</v>
      </c>
      <c r="E188" s="63" t="s">
        <v>118</v>
      </c>
      <c r="F188" s="63">
        <v>32.35</v>
      </c>
      <c r="G188" s="63">
        <v>1.5</v>
      </c>
      <c r="H188" s="63">
        <v>23</v>
      </c>
      <c r="I188" s="64" t="s">
        <v>159</v>
      </c>
    </row>
    <row r="189" spans="2:9" ht="15" customHeight="1" x14ac:dyDescent="0.25">
      <c r="B189" s="78"/>
      <c r="C189" s="79"/>
      <c r="D189" s="59" t="s">
        <v>165</v>
      </c>
      <c r="E189" s="70" t="s">
        <v>128</v>
      </c>
      <c r="F189" s="70">
        <v>32.31</v>
      </c>
      <c r="G189" s="70">
        <v>1.01</v>
      </c>
      <c r="H189" s="70">
        <v>22</v>
      </c>
      <c r="I189" s="65" t="s">
        <v>159</v>
      </c>
    </row>
    <row r="190" spans="2:9" ht="15" customHeight="1" x14ac:dyDescent="0.25">
      <c r="B190" s="78"/>
      <c r="C190" s="79"/>
      <c r="D190" s="59" t="s">
        <v>169</v>
      </c>
      <c r="E190" s="70" t="s">
        <v>133</v>
      </c>
      <c r="F190" s="70">
        <v>31.96</v>
      </c>
      <c r="G190" s="70">
        <v>1.5</v>
      </c>
      <c r="H190" s="70">
        <v>17</v>
      </c>
      <c r="I190" s="65" t="s">
        <v>159</v>
      </c>
    </row>
    <row r="191" spans="2:9" ht="15" customHeight="1" x14ac:dyDescent="0.25">
      <c r="B191" s="78"/>
      <c r="C191" s="79"/>
      <c r="D191" s="59" t="s">
        <v>164</v>
      </c>
      <c r="E191" s="70" t="s">
        <v>128</v>
      </c>
      <c r="F191" s="70">
        <v>31.83</v>
      </c>
      <c r="G191" s="70">
        <v>1.24</v>
      </c>
      <c r="H191" s="70">
        <v>22</v>
      </c>
      <c r="I191" s="65" t="s">
        <v>159</v>
      </c>
    </row>
    <row r="192" spans="2:9" ht="15" customHeight="1" thickBot="1" x14ac:dyDescent="0.3">
      <c r="B192" s="78"/>
      <c r="C192" s="79"/>
      <c r="D192" s="60" t="s">
        <v>201</v>
      </c>
      <c r="E192" s="61" t="s">
        <v>126</v>
      </c>
      <c r="F192" s="61">
        <v>31.62</v>
      </c>
      <c r="G192" s="61">
        <v>1.56</v>
      </c>
      <c r="H192" s="61">
        <v>26</v>
      </c>
      <c r="I192" s="66" t="s">
        <v>159</v>
      </c>
    </row>
    <row r="193" spans="2:9" ht="15" customHeight="1" x14ac:dyDescent="0.25">
      <c r="B193" s="78"/>
      <c r="C193" s="79"/>
      <c r="D193" s="62" t="s">
        <v>185</v>
      </c>
      <c r="E193" s="63" t="s">
        <v>119</v>
      </c>
      <c r="F193" s="63">
        <v>32.49</v>
      </c>
      <c r="G193" s="63">
        <v>1.25</v>
      </c>
      <c r="H193" s="63">
        <v>16</v>
      </c>
      <c r="I193" s="64" t="s">
        <v>160</v>
      </c>
    </row>
    <row r="194" spans="2:9" ht="15" customHeight="1" x14ac:dyDescent="0.25">
      <c r="B194" s="78"/>
      <c r="C194" s="79"/>
      <c r="D194" s="59" t="s">
        <v>188</v>
      </c>
      <c r="E194" s="70" t="s">
        <v>119</v>
      </c>
      <c r="F194" s="70">
        <v>31.72</v>
      </c>
      <c r="G194" s="70">
        <v>1.92</v>
      </c>
      <c r="H194" s="70">
        <v>15</v>
      </c>
      <c r="I194" s="65" t="s">
        <v>160</v>
      </c>
    </row>
    <row r="195" spans="2:9" ht="15" customHeight="1" x14ac:dyDescent="0.25">
      <c r="B195" s="78"/>
      <c r="C195" s="79"/>
      <c r="D195" s="59" t="s">
        <v>186</v>
      </c>
      <c r="E195" s="70" t="s">
        <v>128</v>
      </c>
      <c r="F195" s="70">
        <v>31.04</v>
      </c>
      <c r="G195" s="70">
        <v>1.49</v>
      </c>
      <c r="H195" s="70">
        <v>15</v>
      </c>
      <c r="I195" s="65" t="s">
        <v>160</v>
      </c>
    </row>
    <row r="196" spans="2:9" ht="15" customHeight="1" x14ac:dyDescent="0.25">
      <c r="B196" s="78"/>
      <c r="C196" s="79"/>
      <c r="D196" s="59" t="s">
        <v>205</v>
      </c>
      <c r="E196" s="70" t="s">
        <v>124</v>
      </c>
      <c r="F196" s="70">
        <v>30.59</v>
      </c>
      <c r="G196" s="70">
        <v>1.33</v>
      </c>
      <c r="H196" s="70">
        <v>19</v>
      </c>
      <c r="I196" s="65" t="s">
        <v>160</v>
      </c>
    </row>
    <row r="197" spans="2:9" ht="15" customHeight="1" thickBot="1" x14ac:dyDescent="0.3">
      <c r="B197" s="78"/>
      <c r="C197" s="79"/>
      <c r="D197" s="60" t="s">
        <v>179</v>
      </c>
      <c r="E197" s="61" t="s">
        <v>128</v>
      </c>
      <c r="F197" s="61">
        <v>30.5</v>
      </c>
      <c r="G197" s="61">
        <v>1.48</v>
      </c>
      <c r="H197" s="61">
        <v>17</v>
      </c>
      <c r="I197" s="66" t="s">
        <v>160</v>
      </c>
    </row>
    <row r="198" spans="2:9" ht="15" customHeight="1" x14ac:dyDescent="0.25">
      <c r="B198" s="78"/>
      <c r="C198" s="79"/>
      <c r="D198" s="62" t="s">
        <v>187</v>
      </c>
      <c r="E198" s="63" t="s">
        <v>120</v>
      </c>
      <c r="F198" s="63">
        <v>33.19</v>
      </c>
      <c r="G198" s="63">
        <v>1.3</v>
      </c>
      <c r="H198" s="63">
        <v>22</v>
      </c>
      <c r="I198" s="64" t="s">
        <v>161</v>
      </c>
    </row>
    <row r="199" spans="2:9" ht="15" customHeight="1" x14ac:dyDescent="0.25">
      <c r="B199" s="78"/>
      <c r="C199" s="79"/>
      <c r="D199" s="59" t="s">
        <v>200</v>
      </c>
      <c r="E199" s="70" t="s">
        <v>126</v>
      </c>
      <c r="F199" s="70">
        <v>32.47</v>
      </c>
      <c r="G199" s="70">
        <v>1.56</v>
      </c>
      <c r="H199" s="70">
        <v>19</v>
      </c>
      <c r="I199" s="65" t="s">
        <v>161</v>
      </c>
    </row>
    <row r="200" spans="2:9" ht="15" customHeight="1" x14ac:dyDescent="0.25">
      <c r="B200" s="78"/>
      <c r="C200" s="79"/>
      <c r="D200" s="59" t="s">
        <v>182</v>
      </c>
      <c r="E200" s="70" t="s">
        <v>124</v>
      </c>
      <c r="F200" s="70">
        <v>32.450000000000003</v>
      </c>
      <c r="G200" s="70">
        <v>1.44</v>
      </c>
      <c r="H200" s="70">
        <v>22</v>
      </c>
      <c r="I200" s="65" t="s">
        <v>161</v>
      </c>
    </row>
    <row r="201" spans="2:9" ht="15" customHeight="1" x14ac:dyDescent="0.25">
      <c r="B201" s="78"/>
      <c r="C201" s="79"/>
      <c r="D201" s="59" t="s">
        <v>183</v>
      </c>
      <c r="E201" s="70" t="s">
        <v>118</v>
      </c>
      <c r="F201" s="70">
        <v>32.33</v>
      </c>
      <c r="G201" s="70">
        <v>0.97</v>
      </c>
      <c r="H201" s="70">
        <v>22</v>
      </c>
      <c r="I201" s="65" t="s">
        <v>161</v>
      </c>
    </row>
    <row r="202" spans="2:9" ht="15" customHeight="1" thickBot="1" x14ac:dyDescent="0.3">
      <c r="B202" s="80"/>
      <c r="C202" s="81"/>
      <c r="D202" s="60" t="s">
        <v>203</v>
      </c>
      <c r="E202" s="61" t="s">
        <v>129</v>
      </c>
      <c r="F202" s="61">
        <v>32.01</v>
      </c>
      <c r="G202" s="61">
        <v>1.87</v>
      </c>
      <c r="H202" s="61">
        <v>18</v>
      </c>
      <c r="I202" s="66" t="s">
        <v>161</v>
      </c>
    </row>
    <row r="203" spans="2:9" ht="15" customHeight="1" x14ac:dyDescent="0.25">
      <c r="B203" s="76" t="s">
        <v>99</v>
      </c>
      <c r="C203" s="77"/>
      <c r="D203" s="62" t="s">
        <v>163</v>
      </c>
      <c r="E203" s="63" t="s">
        <v>118</v>
      </c>
      <c r="F203" s="63">
        <v>533.16999999999996</v>
      </c>
      <c r="G203" s="63">
        <v>50.5</v>
      </c>
      <c r="H203" s="63">
        <v>23</v>
      </c>
      <c r="I203" s="64" t="s">
        <v>159</v>
      </c>
    </row>
    <row r="204" spans="2:9" ht="15" customHeight="1" x14ac:dyDescent="0.25">
      <c r="B204" s="78"/>
      <c r="C204" s="79"/>
      <c r="D204" s="59" t="s">
        <v>164</v>
      </c>
      <c r="E204" s="70" t="s">
        <v>128</v>
      </c>
      <c r="F204" s="70">
        <v>526.91</v>
      </c>
      <c r="G204" s="70">
        <v>33.75</v>
      </c>
      <c r="H204" s="70">
        <v>22</v>
      </c>
      <c r="I204" s="65" t="s">
        <v>159</v>
      </c>
    </row>
    <row r="205" spans="2:9" ht="15" customHeight="1" x14ac:dyDescent="0.25">
      <c r="B205" s="78"/>
      <c r="C205" s="79"/>
      <c r="D205" s="59" t="s">
        <v>180</v>
      </c>
      <c r="E205" s="70" t="s">
        <v>132</v>
      </c>
      <c r="F205" s="70">
        <v>520.13</v>
      </c>
      <c r="G205" s="70">
        <v>30.51</v>
      </c>
      <c r="H205" s="70">
        <v>15</v>
      </c>
      <c r="I205" s="65" t="s">
        <v>159</v>
      </c>
    </row>
    <row r="206" spans="2:9" ht="15" customHeight="1" x14ac:dyDescent="0.25">
      <c r="B206" s="78"/>
      <c r="C206" s="79"/>
      <c r="D206" s="59" t="s">
        <v>165</v>
      </c>
      <c r="E206" s="70" t="s">
        <v>128</v>
      </c>
      <c r="F206" s="70">
        <v>519.23</v>
      </c>
      <c r="G206" s="70">
        <v>40.950000000000003</v>
      </c>
      <c r="H206" s="70">
        <v>22</v>
      </c>
      <c r="I206" s="65" t="s">
        <v>159</v>
      </c>
    </row>
    <row r="207" spans="2:9" ht="15" customHeight="1" thickBot="1" x14ac:dyDescent="0.3">
      <c r="B207" s="78"/>
      <c r="C207" s="79"/>
      <c r="D207" s="60" t="s">
        <v>168</v>
      </c>
      <c r="E207" s="61" t="s">
        <v>126</v>
      </c>
      <c r="F207" s="61">
        <v>507.13</v>
      </c>
      <c r="G207" s="61">
        <v>62.94</v>
      </c>
      <c r="H207" s="61">
        <v>15</v>
      </c>
      <c r="I207" s="66" t="s">
        <v>159</v>
      </c>
    </row>
    <row r="208" spans="2:9" ht="15" customHeight="1" x14ac:dyDescent="0.25">
      <c r="B208" s="78"/>
      <c r="C208" s="79"/>
      <c r="D208" s="62" t="s">
        <v>162</v>
      </c>
      <c r="E208" s="63" t="s">
        <v>118</v>
      </c>
      <c r="F208" s="63">
        <v>532.38</v>
      </c>
      <c r="G208" s="63">
        <v>87.77</v>
      </c>
      <c r="H208" s="63">
        <v>16</v>
      </c>
      <c r="I208" s="64" t="s">
        <v>160</v>
      </c>
    </row>
    <row r="209" spans="2:9" ht="15" customHeight="1" x14ac:dyDescent="0.25">
      <c r="B209" s="78"/>
      <c r="C209" s="79"/>
      <c r="D209" s="59" t="s">
        <v>191</v>
      </c>
      <c r="E209" s="70" t="s">
        <v>120</v>
      </c>
      <c r="F209" s="70">
        <v>519.38</v>
      </c>
      <c r="G209" s="70">
        <v>32.49</v>
      </c>
      <c r="H209" s="70">
        <v>26</v>
      </c>
      <c r="I209" s="65" t="s">
        <v>160</v>
      </c>
    </row>
    <row r="210" spans="2:9" ht="15" customHeight="1" x14ac:dyDescent="0.25">
      <c r="B210" s="78"/>
      <c r="C210" s="79"/>
      <c r="D210" s="59" t="s">
        <v>177</v>
      </c>
      <c r="E210" s="70" t="s">
        <v>126</v>
      </c>
      <c r="F210" s="70">
        <v>507.08</v>
      </c>
      <c r="G210" s="70">
        <v>68.98</v>
      </c>
      <c r="H210" s="70">
        <v>26</v>
      </c>
      <c r="I210" s="65" t="s">
        <v>160</v>
      </c>
    </row>
    <row r="211" spans="2:9" ht="15" customHeight="1" x14ac:dyDescent="0.25">
      <c r="B211" s="78"/>
      <c r="C211" s="79"/>
      <c r="D211" s="59" t="s">
        <v>202</v>
      </c>
      <c r="E211" s="70" t="s">
        <v>128</v>
      </c>
      <c r="F211" s="70">
        <v>505.12</v>
      </c>
      <c r="G211" s="70">
        <v>114.2</v>
      </c>
      <c r="H211" s="70">
        <v>17</v>
      </c>
      <c r="I211" s="65" t="s">
        <v>160</v>
      </c>
    </row>
    <row r="212" spans="2:9" ht="15" customHeight="1" thickBot="1" x14ac:dyDescent="0.3">
      <c r="B212" s="78"/>
      <c r="C212" s="79"/>
      <c r="D212" s="60" t="s">
        <v>189</v>
      </c>
      <c r="E212" s="61" t="s">
        <v>127</v>
      </c>
      <c r="F212" s="61">
        <v>504.83</v>
      </c>
      <c r="G212" s="61">
        <v>40.21</v>
      </c>
      <c r="H212" s="61">
        <v>18</v>
      </c>
      <c r="I212" s="66" t="s">
        <v>160</v>
      </c>
    </row>
    <row r="213" spans="2:9" ht="15" customHeight="1" x14ac:dyDescent="0.25">
      <c r="B213" s="78"/>
      <c r="C213" s="79"/>
      <c r="D213" s="62" t="s">
        <v>166</v>
      </c>
      <c r="E213" s="63" t="s">
        <v>122</v>
      </c>
      <c r="F213" s="63">
        <v>481.59</v>
      </c>
      <c r="G213" s="63">
        <v>70.37</v>
      </c>
      <c r="H213" s="63">
        <v>17</v>
      </c>
      <c r="I213" s="64" t="s">
        <v>161</v>
      </c>
    </row>
    <row r="214" spans="2:9" ht="15" customHeight="1" x14ac:dyDescent="0.25">
      <c r="B214" s="78"/>
      <c r="C214" s="79"/>
      <c r="D214" s="59" t="s">
        <v>167</v>
      </c>
      <c r="E214" s="70" t="s">
        <v>119</v>
      </c>
      <c r="F214" s="70">
        <v>479.83</v>
      </c>
      <c r="G214" s="70">
        <v>98.81</v>
      </c>
      <c r="H214" s="70">
        <v>18</v>
      </c>
      <c r="I214" s="65" t="s">
        <v>161</v>
      </c>
    </row>
    <row r="215" spans="2:9" ht="15" customHeight="1" x14ac:dyDescent="0.25">
      <c r="B215" s="78"/>
      <c r="C215" s="79"/>
      <c r="D215" s="59" t="s">
        <v>193</v>
      </c>
      <c r="E215" s="70" t="s">
        <v>121</v>
      </c>
      <c r="F215" s="70">
        <v>436.4</v>
      </c>
      <c r="G215" s="70">
        <v>75.69</v>
      </c>
      <c r="H215" s="70">
        <v>20</v>
      </c>
      <c r="I215" s="65" t="s">
        <v>161</v>
      </c>
    </row>
    <row r="216" spans="2:9" ht="15" customHeight="1" x14ac:dyDescent="0.25">
      <c r="B216" s="78"/>
      <c r="C216" s="79"/>
      <c r="D216" s="59" t="s">
        <v>182</v>
      </c>
      <c r="E216" s="70" t="s">
        <v>124</v>
      </c>
      <c r="F216" s="70">
        <v>430.59</v>
      </c>
      <c r="G216" s="70">
        <v>76.599999999999994</v>
      </c>
      <c r="H216" s="70">
        <v>22</v>
      </c>
      <c r="I216" s="65" t="s">
        <v>161</v>
      </c>
    </row>
    <row r="217" spans="2:9" ht="15" customHeight="1" thickBot="1" x14ac:dyDescent="0.3">
      <c r="B217" s="80"/>
      <c r="C217" s="81"/>
      <c r="D217" s="60" t="s">
        <v>183</v>
      </c>
      <c r="E217" s="61" t="s">
        <v>118</v>
      </c>
      <c r="F217" s="61">
        <v>425.5</v>
      </c>
      <c r="G217" s="61">
        <v>89.98</v>
      </c>
      <c r="H217" s="61">
        <v>22</v>
      </c>
      <c r="I217" s="66" t="s">
        <v>161</v>
      </c>
    </row>
    <row r="218" spans="2:9" ht="15" customHeight="1" x14ac:dyDescent="0.25">
      <c r="B218" s="76" t="s">
        <v>100</v>
      </c>
      <c r="C218" s="77"/>
      <c r="D218" s="62" t="s">
        <v>163</v>
      </c>
      <c r="E218" s="63" t="s">
        <v>118</v>
      </c>
      <c r="F218" s="63">
        <v>516.42999999999995</v>
      </c>
      <c r="G218" s="63">
        <v>48.84</v>
      </c>
      <c r="H218" s="63">
        <v>23</v>
      </c>
      <c r="I218" s="64" t="s">
        <v>159</v>
      </c>
    </row>
    <row r="219" spans="2:9" ht="15" customHeight="1" x14ac:dyDescent="0.25">
      <c r="B219" s="78"/>
      <c r="C219" s="79"/>
      <c r="D219" s="59" t="s">
        <v>165</v>
      </c>
      <c r="E219" s="70" t="s">
        <v>128</v>
      </c>
      <c r="F219" s="70">
        <v>505.32</v>
      </c>
      <c r="G219" s="70">
        <v>38.74</v>
      </c>
      <c r="H219" s="70">
        <v>22</v>
      </c>
      <c r="I219" s="65" t="s">
        <v>159</v>
      </c>
    </row>
    <row r="220" spans="2:9" ht="15" customHeight="1" x14ac:dyDescent="0.25">
      <c r="B220" s="78"/>
      <c r="C220" s="79"/>
      <c r="D220" s="59" t="s">
        <v>180</v>
      </c>
      <c r="E220" s="70" t="s">
        <v>132</v>
      </c>
      <c r="F220" s="70">
        <v>497.8</v>
      </c>
      <c r="G220" s="70">
        <v>35.340000000000003</v>
      </c>
      <c r="H220" s="70">
        <v>15</v>
      </c>
      <c r="I220" s="65" t="s">
        <v>159</v>
      </c>
    </row>
    <row r="221" spans="2:9" ht="15" customHeight="1" x14ac:dyDescent="0.25">
      <c r="B221" s="78"/>
      <c r="C221" s="79"/>
      <c r="D221" s="59" t="s">
        <v>164</v>
      </c>
      <c r="E221" s="70" t="s">
        <v>128</v>
      </c>
      <c r="F221" s="70">
        <v>492.27</v>
      </c>
      <c r="G221" s="70">
        <v>34.76</v>
      </c>
      <c r="H221" s="70">
        <v>22</v>
      </c>
      <c r="I221" s="65" t="s">
        <v>159</v>
      </c>
    </row>
    <row r="222" spans="2:9" ht="15" customHeight="1" thickBot="1" x14ac:dyDescent="0.3">
      <c r="B222" s="78"/>
      <c r="C222" s="79"/>
      <c r="D222" s="60" t="s">
        <v>206</v>
      </c>
      <c r="E222" s="61" t="s">
        <v>132</v>
      </c>
      <c r="F222" s="61">
        <v>491.23</v>
      </c>
      <c r="G222" s="61">
        <v>38.07</v>
      </c>
      <c r="H222" s="61">
        <v>22</v>
      </c>
      <c r="I222" s="66" t="s">
        <v>159</v>
      </c>
    </row>
    <row r="223" spans="2:9" ht="15" customHeight="1" x14ac:dyDescent="0.25">
      <c r="B223" s="78"/>
      <c r="C223" s="79"/>
      <c r="D223" s="62" t="s">
        <v>162</v>
      </c>
      <c r="E223" s="63" t="s">
        <v>118</v>
      </c>
      <c r="F223" s="63">
        <v>503.31</v>
      </c>
      <c r="G223" s="63">
        <v>79.39</v>
      </c>
      <c r="H223" s="63">
        <v>16</v>
      </c>
      <c r="I223" s="64" t="s">
        <v>160</v>
      </c>
    </row>
    <row r="224" spans="2:9" ht="15" customHeight="1" x14ac:dyDescent="0.25">
      <c r="B224" s="78"/>
      <c r="C224" s="79"/>
      <c r="D224" s="59" t="s">
        <v>191</v>
      </c>
      <c r="E224" s="70" t="s">
        <v>120</v>
      </c>
      <c r="F224" s="70">
        <v>503.23</v>
      </c>
      <c r="G224" s="70">
        <v>31.25</v>
      </c>
      <c r="H224" s="70">
        <v>26</v>
      </c>
      <c r="I224" s="65" t="s">
        <v>160</v>
      </c>
    </row>
    <row r="225" spans="2:9" ht="15" customHeight="1" x14ac:dyDescent="0.25">
      <c r="B225" s="78"/>
      <c r="C225" s="79"/>
      <c r="D225" s="59" t="s">
        <v>189</v>
      </c>
      <c r="E225" s="70" t="s">
        <v>127</v>
      </c>
      <c r="F225" s="70">
        <v>493.78</v>
      </c>
      <c r="G225" s="70">
        <v>39.979999999999997</v>
      </c>
      <c r="H225" s="70">
        <v>18</v>
      </c>
      <c r="I225" s="65" t="s">
        <v>160</v>
      </c>
    </row>
    <row r="226" spans="2:9" ht="15" customHeight="1" x14ac:dyDescent="0.25">
      <c r="B226" s="78"/>
      <c r="C226" s="79"/>
      <c r="D226" s="59" t="s">
        <v>177</v>
      </c>
      <c r="E226" s="70" t="s">
        <v>126</v>
      </c>
      <c r="F226" s="70">
        <v>486.88</v>
      </c>
      <c r="G226" s="70">
        <v>67.489999999999995</v>
      </c>
      <c r="H226" s="70">
        <v>26</v>
      </c>
      <c r="I226" s="65" t="s">
        <v>160</v>
      </c>
    </row>
    <row r="227" spans="2:9" ht="15" customHeight="1" thickBot="1" x14ac:dyDescent="0.3">
      <c r="B227" s="78"/>
      <c r="C227" s="79"/>
      <c r="D227" s="60" t="s">
        <v>202</v>
      </c>
      <c r="E227" s="61" t="s">
        <v>128</v>
      </c>
      <c r="F227" s="61">
        <v>485.94</v>
      </c>
      <c r="G227" s="61">
        <v>105.34</v>
      </c>
      <c r="H227" s="61">
        <v>17</v>
      </c>
      <c r="I227" s="66" t="s">
        <v>160</v>
      </c>
    </row>
    <row r="228" spans="2:9" ht="15" customHeight="1" x14ac:dyDescent="0.25">
      <c r="B228" s="78"/>
      <c r="C228" s="79"/>
      <c r="D228" s="62" t="s">
        <v>166</v>
      </c>
      <c r="E228" s="63" t="s">
        <v>122</v>
      </c>
      <c r="F228" s="63">
        <v>475.71</v>
      </c>
      <c r="G228" s="63">
        <v>76.22</v>
      </c>
      <c r="H228" s="63">
        <v>17</v>
      </c>
      <c r="I228" s="64" t="s">
        <v>161</v>
      </c>
    </row>
    <row r="229" spans="2:9" ht="15" customHeight="1" x14ac:dyDescent="0.25">
      <c r="B229" s="78"/>
      <c r="C229" s="79"/>
      <c r="D229" s="59" t="s">
        <v>167</v>
      </c>
      <c r="E229" s="70" t="s">
        <v>119</v>
      </c>
      <c r="F229" s="70">
        <v>461.67</v>
      </c>
      <c r="G229" s="70">
        <v>92.06</v>
      </c>
      <c r="H229" s="70">
        <v>18</v>
      </c>
      <c r="I229" s="65" t="s">
        <v>161</v>
      </c>
    </row>
    <row r="230" spans="2:9" ht="15" customHeight="1" x14ac:dyDescent="0.25">
      <c r="B230" s="78"/>
      <c r="C230" s="79"/>
      <c r="D230" s="59" t="s">
        <v>183</v>
      </c>
      <c r="E230" s="70" t="s">
        <v>118</v>
      </c>
      <c r="F230" s="70">
        <v>421.91</v>
      </c>
      <c r="G230" s="70">
        <v>88.4</v>
      </c>
      <c r="H230" s="70">
        <v>22</v>
      </c>
      <c r="I230" s="65" t="s">
        <v>161</v>
      </c>
    </row>
    <row r="231" spans="2:9" ht="15" customHeight="1" x14ac:dyDescent="0.25">
      <c r="B231" s="78"/>
      <c r="C231" s="79"/>
      <c r="D231" s="59" t="s">
        <v>182</v>
      </c>
      <c r="E231" s="70" t="s">
        <v>124</v>
      </c>
      <c r="F231" s="70">
        <v>411.64</v>
      </c>
      <c r="G231" s="70">
        <v>73.22</v>
      </c>
      <c r="H231" s="70">
        <v>22</v>
      </c>
      <c r="I231" s="65" t="s">
        <v>161</v>
      </c>
    </row>
    <row r="232" spans="2:9" ht="15" customHeight="1" thickBot="1" x14ac:dyDescent="0.3">
      <c r="B232" s="80"/>
      <c r="C232" s="81"/>
      <c r="D232" s="60" t="s">
        <v>193</v>
      </c>
      <c r="E232" s="61" t="s">
        <v>121</v>
      </c>
      <c r="F232" s="61">
        <v>410.6</v>
      </c>
      <c r="G232" s="61">
        <v>73.010000000000005</v>
      </c>
      <c r="H232" s="61">
        <v>20</v>
      </c>
      <c r="I232" s="66" t="s">
        <v>161</v>
      </c>
    </row>
    <row r="233" spans="2:9" ht="15" customHeight="1" x14ac:dyDescent="0.25">
      <c r="B233" s="76" t="s">
        <v>9</v>
      </c>
      <c r="C233" s="77"/>
      <c r="D233" s="62" t="s">
        <v>164</v>
      </c>
      <c r="E233" s="63" t="s">
        <v>128</v>
      </c>
      <c r="F233" s="63">
        <v>97.44</v>
      </c>
      <c r="G233" s="63">
        <v>6.76</v>
      </c>
      <c r="H233" s="63">
        <v>22</v>
      </c>
      <c r="I233" s="64" t="s">
        <v>159</v>
      </c>
    </row>
    <row r="234" spans="2:9" ht="15" customHeight="1" x14ac:dyDescent="0.25">
      <c r="B234" s="78"/>
      <c r="C234" s="79"/>
      <c r="D234" s="59" t="s">
        <v>171</v>
      </c>
      <c r="E234" s="70" t="s">
        <v>118</v>
      </c>
      <c r="F234" s="70">
        <v>95.92</v>
      </c>
      <c r="G234" s="70">
        <v>5.75</v>
      </c>
      <c r="H234" s="70">
        <v>18</v>
      </c>
      <c r="I234" s="65" t="s">
        <v>159</v>
      </c>
    </row>
    <row r="235" spans="2:9" ht="15" customHeight="1" x14ac:dyDescent="0.25">
      <c r="B235" s="78"/>
      <c r="C235" s="79"/>
      <c r="D235" s="59" t="s">
        <v>169</v>
      </c>
      <c r="E235" s="70" t="s">
        <v>133</v>
      </c>
      <c r="F235" s="70">
        <v>94.33</v>
      </c>
      <c r="G235" s="70">
        <v>6.87</v>
      </c>
      <c r="H235" s="70">
        <v>17</v>
      </c>
      <c r="I235" s="65" t="s">
        <v>159</v>
      </c>
    </row>
    <row r="236" spans="2:9" ht="15" customHeight="1" x14ac:dyDescent="0.25">
      <c r="B236" s="78"/>
      <c r="C236" s="79"/>
      <c r="D236" s="59" t="s">
        <v>170</v>
      </c>
      <c r="E236" s="70" t="s">
        <v>132</v>
      </c>
      <c r="F236" s="70">
        <v>91.86</v>
      </c>
      <c r="G236" s="70">
        <v>9.7899999999999991</v>
      </c>
      <c r="H236" s="70">
        <v>17</v>
      </c>
      <c r="I236" s="65" t="s">
        <v>159</v>
      </c>
    </row>
    <row r="237" spans="2:9" ht="15" customHeight="1" thickBot="1" x14ac:dyDescent="0.3">
      <c r="B237" s="78"/>
      <c r="C237" s="79"/>
      <c r="D237" s="60" t="s">
        <v>165</v>
      </c>
      <c r="E237" s="61" t="s">
        <v>128</v>
      </c>
      <c r="F237" s="61">
        <v>91.75</v>
      </c>
      <c r="G237" s="61">
        <v>6.29</v>
      </c>
      <c r="H237" s="61">
        <v>22</v>
      </c>
      <c r="I237" s="66" t="s">
        <v>159</v>
      </c>
    </row>
    <row r="238" spans="2:9" ht="15" customHeight="1" x14ac:dyDescent="0.25">
      <c r="B238" s="78"/>
      <c r="C238" s="79"/>
      <c r="D238" s="62" t="s">
        <v>189</v>
      </c>
      <c r="E238" s="63" t="s">
        <v>127</v>
      </c>
      <c r="F238" s="63">
        <v>100.1</v>
      </c>
      <c r="G238" s="63">
        <v>6.39</v>
      </c>
      <c r="H238" s="63">
        <v>18</v>
      </c>
      <c r="I238" s="64" t="s">
        <v>160</v>
      </c>
    </row>
    <row r="239" spans="2:9" ht="15" customHeight="1" x14ac:dyDescent="0.25">
      <c r="B239" s="78"/>
      <c r="C239" s="79"/>
      <c r="D239" s="59" t="s">
        <v>194</v>
      </c>
      <c r="E239" s="70" t="s">
        <v>127</v>
      </c>
      <c r="F239" s="70">
        <v>95.7</v>
      </c>
      <c r="G239" s="70">
        <v>6.06</v>
      </c>
      <c r="H239" s="70">
        <v>24</v>
      </c>
      <c r="I239" s="65" t="s">
        <v>160</v>
      </c>
    </row>
    <row r="240" spans="2:9" ht="15" customHeight="1" x14ac:dyDescent="0.25">
      <c r="B240" s="78"/>
      <c r="C240" s="79"/>
      <c r="D240" s="59" t="s">
        <v>202</v>
      </c>
      <c r="E240" s="70" t="s">
        <v>128</v>
      </c>
      <c r="F240" s="70">
        <v>95.21</v>
      </c>
      <c r="G240" s="70">
        <v>20.36</v>
      </c>
      <c r="H240" s="70">
        <v>17</v>
      </c>
      <c r="I240" s="65" t="s">
        <v>160</v>
      </c>
    </row>
    <row r="241" spans="2:9" ht="15" customHeight="1" x14ac:dyDescent="0.25">
      <c r="B241" s="78"/>
      <c r="C241" s="79"/>
      <c r="D241" s="59" t="s">
        <v>195</v>
      </c>
      <c r="E241" s="70" t="s">
        <v>121</v>
      </c>
      <c r="F241" s="70">
        <v>95.07</v>
      </c>
      <c r="G241" s="70">
        <v>10.74</v>
      </c>
      <c r="H241" s="70">
        <v>19</v>
      </c>
      <c r="I241" s="65" t="s">
        <v>160</v>
      </c>
    </row>
    <row r="242" spans="2:9" ht="15" customHeight="1" thickBot="1" x14ac:dyDescent="0.3">
      <c r="B242" s="78"/>
      <c r="C242" s="79"/>
      <c r="D242" s="60" t="s">
        <v>181</v>
      </c>
      <c r="E242" s="61" t="s">
        <v>123</v>
      </c>
      <c r="F242" s="61">
        <v>94.49</v>
      </c>
      <c r="G242" s="61">
        <v>10.33</v>
      </c>
      <c r="H242" s="61">
        <v>22</v>
      </c>
      <c r="I242" s="66" t="s">
        <v>160</v>
      </c>
    </row>
    <row r="243" spans="2:9" ht="15" customHeight="1" x14ac:dyDescent="0.25">
      <c r="B243" s="78"/>
      <c r="C243" s="79"/>
      <c r="D243" s="62" t="s">
        <v>166</v>
      </c>
      <c r="E243" s="63" t="s">
        <v>122</v>
      </c>
      <c r="F243" s="63">
        <v>94.04</v>
      </c>
      <c r="G243" s="63">
        <v>16.05</v>
      </c>
      <c r="H243" s="63">
        <v>17</v>
      </c>
      <c r="I243" s="64" t="s">
        <v>161</v>
      </c>
    </row>
    <row r="244" spans="2:9" ht="15" customHeight="1" x14ac:dyDescent="0.25">
      <c r="B244" s="78"/>
      <c r="C244" s="79"/>
      <c r="D244" s="59" t="s">
        <v>182</v>
      </c>
      <c r="E244" s="70" t="s">
        <v>124</v>
      </c>
      <c r="F244" s="70">
        <v>93.54</v>
      </c>
      <c r="G244" s="70">
        <v>13.19</v>
      </c>
      <c r="H244" s="70">
        <v>22</v>
      </c>
      <c r="I244" s="65" t="s">
        <v>161</v>
      </c>
    </row>
    <row r="245" spans="2:9" ht="15" customHeight="1" x14ac:dyDescent="0.25">
      <c r="B245" s="78"/>
      <c r="C245" s="79"/>
      <c r="D245" s="59" t="s">
        <v>167</v>
      </c>
      <c r="E245" s="70" t="s">
        <v>119</v>
      </c>
      <c r="F245" s="70">
        <v>82.59</v>
      </c>
      <c r="G245" s="70">
        <v>17.190000000000001</v>
      </c>
      <c r="H245" s="70">
        <v>18</v>
      </c>
      <c r="I245" s="65" t="s">
        <v>161</v>
      </c>
    </row>
    <row r="246" spans="2:9" ht="15" customHeight="1" x14ac:dyDescent="0.25">
      <c r="B246" s="78"/>
      <c r="C246" s="79"/>
      <c r="D246" s="59" t="s">
        <v>183</v>
      </c>
      <c r="E246" s="70" t="s">
        <v>118</v>
      </c>
      <c r="F246" s="70">
        <v>78.44</v>
      </c>
      <c r="G246" s="70">
        <v>16.2</v>
      </c>
      <c r="H246" s="70">
        <v>22</v>
      </c>
      <c r="I246" s="65" t="s">
        <v>161</v>
      </c>
    </row>
    <row r="247" spans="2:9" ht="15" customHeight="1" thickBot="1" x14ac:dyDescent="0.3">
      <c r="B247" s="80"/>
      <c r="C247" s="81"/>
      <c r="D247" s="60" t="s">
        <v>196</v>
      </c>
      <c r="E247" s="61" t="s">
        <v>122</v>
      </c>
      <c r="F247" s="61">
        <v>74.760000000000005</v>
      </c>
      <c r="G247" s="61">
        <v>13.88</v>
      </c>
      <c r="H247" s="61">
        <v>26</v>
      </c>
      <c r="I247" s="66" t="s">
        <v>161</v>
      </c>
    </row>
  </sheetData>
  <mergeCells count="15">
    <mergeCell ref="B37:C37"/>
    <mergeCell ref="B83:C97"/>
    <mergeCell ref="B98:C112"/>
    <mergeCell ref="B113:C127"/>
    <mergeCell ref="B128:C142"/>
    <mergeCell ref="B38:C52"/>
    <mergeCell ref="B53:C67"/>
    <mergeCell ref="B68:C82"/>
    <mergeCell ref="B203:C217"/>
    <mergeCell ref="B218:C232"/>
    <mergeCell ref="B233:C247"/>
    <mergeCell ref="B143:C157"/>
    <mergeCell ref="B158:C172"/>
    <mergeCell ref="B173:C187"/>
    <mergeCell ref="B188:C202"/>
  </mergeCells>
  <conditionalFormatting sqref="I3:I3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3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3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3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3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3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O3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3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:Q3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:R3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3:S3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:T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:U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3:V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A0319-63DB-42C3-8251-FCADA2AF12D7}">
  <dimension ref="B2:N44"/>
  <sheetViews>
    <sheetView topLeftCell="A92" workbookViewId="0">
      <selection activeCell="O25" sqref="O25"/>
    </sheetView>
  </sheetViews>
  <sheetFormatPr defaultRowHeight="15" x14ac:dyDescent="0.25"/>
  <cols>
    <col min="2" max="2" width="29.7109375" customWidth="1"/>
    <col min="5" max="5" width="11.5703125" bestFit="1" customWidth="1"/>
    <col min="8" max="8" width="13.5703125" customWidth="1"/>
    <col min="9" max="9" width="8.7109375" customWidth="1"/>
    <col min="10" max="10" width="6.140625" customWidth="1"/>
    <col min="11" max="11" width="25.140625" customWidth="1"/>
    <col min="14" max="14" width="9.42578125" bestFit="1" customWidth="1"/>
  </cols>
  <sheetData>
    <row r="2" spans="2:14" ht="15" customHeight="1" thickBot="1" x14ac:dyDescent="0.3">
      <c r="B2" s="21" t="s">
        <v>40</v>
      </c>
      <c r="C2" s="21" t="s">
        <v>134</v>
      </c>
      <c r="D2" s="21" t="s">
        <v>135</v>
      </c>
      <c r="E2" s="21" t="s">
        <v>59</v>
      </c>
      <c r="K2" s="7" t="s">
        <v>40</v>
      </c>
      <c r="L2" s="7" t="s">
        <v>57</v>
      </c>
      <c r="M2" s="7" t="s">
        <v>58</v>
      </c>
      <c r="N2" s="7" t="s">
        <v>59</v>
      </c>
    </row>
    <row r="3" spans="2:14" ht="15" customHeight="1" thickBot="1" x14ac:dyDescent="0.3">
      <c r="B3" s="22" t="s">
        <v>41</v>
      </c>
      <c r="C3" s="22">
        <v>30</v>
      </c>
      <c r="D3" s="23">
        <v>30</v>
      </c>
      <c r="E3" s="25">
        <f>(C3/D3)*100</f>
        <v>100</v>
      </c>
      <c r="J3" s="19"/>
      <c r="K3" s="13" t="s">
        <v>129</v>
      </c>
      <c r="L3" s="13">
        <v>30</v>
      </c>
      <c r="M3" s="13">
        <v>30</v>
      </c>
      <c r="N3" s="28">
        <f>ROUND((L3/M3)*100,2)</f>
        <v>100</v>
      </c>
    </row>
    <row r="4" spans="2:14" ht="15" customHeight="1" thickBot="1" x14ac:dyDescent="0.3">
      <c r="B4" s="22" t="s">
        <v>42</v>
      </c>
      <c r="C4" s="22">
        <v>28</v>
      </c>
      <c r="D4" s="23">
        <v>32</v>
      </c>
      <c r="E4" s="25">
        <f t="shared" ref="E4:E18" si="0">(C4/D4)*100</f>
        <v>87.5</v>
      </c>
      <c r="J4" s="19"/>
      <c r="K4" s="13" t="s">
        <v>120</v>
      </c>
      <c r="L4" s="13">
        <v>30</v>
      </c>
      <c r="M4" s="13">
        <v>30</v>
      </c>
      <c r="N4" s="28">
        <f t="shared" ref="N4:N18" si="1">ROUND((L4/M4)*100,2)</f>
        <v>100</v>
      </c>
    </row>
    <row r="5" spans="2:14" ht="15" customHeight="1" thickBot="1" x14ac:dyDescent="0.3">
      <c r="B5" s="22" t="s">
        <v>43</v>
      </c>
      <c r="C5" s="22">
        <v>27</v>
      </c>
      <c r="D5" s="23">
        <v>37</v>
      </c>
      <c r="E5" s="25">
        <f t="shared" si="0"/>
        <v>72.972972972972968</v>
      </c>
      <c r="J5" s="19"/>
      <c r="K5" s="13" t="s">
        <v>122</v>
      </c>
      <c r="L5" s="13">
        <v>30</v>
      </c>
      <c r="M5" s="13">
        <v>30</v>
      </c>
      <c r="N5" s="28">
        <f t="shared" si="1"/>
        <v>100</v>
      </c>
    </row>
    <row r="6" spans="2:14" ht="15" customHeight="1" thickBot="1" x14ac:dyDescent="0.3">
      <c r="B6" s="22" t="s">
        <v>44</v>
      </c>
      <c r="C6" s="22">
        <v>27</v>
      </c>
      <c r="D6" s="23">
        <v>32</v>
      </c>
      <c r="E6" s="25">
        <f t="shared" si="0"/>
        <v>84.375</v>
      </c>
      <c r="J6" s="19"/>
      <c r="K6" s="13" t="s">
        <v>123</v>
      </c>
      <c r="L6" s="13">
        <v>30</v>
      </c>
      <c r="M6" s="13">
        <v>30</v>
      </c>
      <c r="N6" s="28">
        <f t="shared" si="1"/>
        <v>100</v>
      </c>
    </row>
    <row r="7" spans="2:14" ht="15" customHeight="1" thickBot="1" x14ac:dyDescent="0.3">
      <c r="B7" s="22" t="s">
        <v>45</v>
      </c>
      <c r="C7" s="22">
        <v>27</v>
      </c>
      <c r="D7" s="23">
        <v>32</v>
      </c>
      <c r="E7" s="25">
        <f t="shared" si="0"/>
        <v>84.375</v>
      </c>
      <c r="J7" s="19"/>
      <c r="K7" s="13" t="s">
        <v>127</v>
      </c>
      <c r="L7" s="13">
        <v>29</v>
      </c>
      <c r="M7" s="13">
        <v>30</v>
      </c>
      <c r="N7" s="28">
        <f t="shared" si="1"/>
        <v>96.67</v>
      </c>
    </row>
    <row r="8" spans="2:14" ht="15" customHeight="1" thickBot="1" x14ac:dyDescent="0.3">
      <c r="B8" s="22" t="s">
        <v>46</v>
      </c>
      <c r="C8" s="22">
        <v>26</v>
      </c>
      <c r="D8" s="23">
        <v>30</v>
      </c>
      <c r="E8" s="25">
        <f t="shared" si="0"/>
        <v>86.666666666666671</v>
      </c>
      <c r="J8" s="19"/>
      <c r="K8" s="13" t="s">
        <v>126</v>
      </c>
      <c r="L8" s="13">
        <v>29</v>
      </c>
      <c r="M8" s="13">
        <v>30</v>
      </c>
      <c r="N8" s="28">
        <f t="shared" si="1"/>
        <v>96.67</v>
      </c>
    </row>
    <row r="9" spans="2:14" ht="15" customHeight="1" thickBot="1" x14ac:dyDescent="0.3">
      <c r="B9" s="22" t="s">
        <v>47</v>
      </c>
      <c r="C9" s="22">
        <v>26</v>
      </c>
      <c r="D9" s="23">
        <v>34</v>
      </c>
      <c r="E9" s="25">
        <f t="shared" si="0"/>
        <v>76.470588235294116</v>
      </c>
      <c r="J9" s="19"/>
      <c r="K9" s="13" t="s">
        <v>132</v>
      </c>
      <c r="L9" s="13">
        <v>29</v>
      </c>
      <c r="M9" s="13">
        <v>30</v>
      </c>
      <c r="N9" s="28">
        <f t="shared" si="1"/>
        <v>96.67</v>
      </c>
    </row>
    <row r="10" spans="2:14" ht="15" customHeight="1" thickBot="1" x14ac:dyDescent="0.3">
      <c r="B10" s="22" t="s">
        <v>48</v>
      </c>
      <c r="C10" s="22">
        <v>26</v>
      </c>
      <c r="D10" s="23">
        <v>33</v>
      </c>
      <c r="E10" s="25">
        <f t="shared" si="0"/>
        <v>78.787878787878782</v>
      </c>
      <c r="J10" s="19"/>
      <c r="K10" s="13" t="s">
        <v>128</v>
      </c>
      <c r="L10" s="13">
        <v>28</v>
      </c>
      <c r="M10" s="13">
        <v>30</v>
      </c>
      <c r="N10" s="28">
        <f t="shared" si="1"/>
        <v>93.33</v>
      </c>
    </row>
    <row r="11" spans="2:14" ht="15" customHeight="1" thickBot="1" x14ac:dyDescent="0.3">
      <c r="B11" s="22" t="s">
        <v>49</v>
      </c>
      <c r="C11" s="22">
        <v>25</v>
      </c>
      <c r="D11" s="23">
        <v>31</v>
      </c>
      <c r="E11" s="25">
        <f t="shared" si="0"/>
        <v>80.645161290322577</v>
      </c>
      <c r="J11" s="19"/>
      <c r="K11" s="13" t="s">
        <v>124</v>
      </c>
      <c r="L11" s="13">
        <v>28</v>
      </c>
      <c r="M11" s="13">
        <v>30</v>
      </c>
      <c r="N11" s="28">
        <f t="shared" si="1"/>
        <v>93.33</v>
      </c>
    </row>
    <row r="12" spans="2:14" ht="15" customHeight="1" thickBot="1" x14ac:dyDescent="0.3">
      <c r="B12" s="22" t="s">
        <v>50</v>
      </c>
      <c r="C12" s="22">
        <v>24</v>
      </c>
      <c r="D12" s="23">
        <v>28</v>
      </c>
      <c r="E12" s="25">
        <f t="shared" si="0"/>
        <v>85.714285714285708</v>
      </c>
      <c r="J12" s="19"/>
      <c r="K12" s="13" t="s">
        <v>131</v>
      </c>
      <c r="L12" s="13">
        <v>27</v>
      </c>
      <c r="M12" s="13">
        <v>30</v>
      </c>
      <c r="N12" s="28">
        <f t="shared" si="1"/>
        <v>90</v>
      </c>
    </row>
    <row r="13" spans="2:14" ht="15" customHeight="1" thickBot="1" x14ac:dyDescent="0.3">
      <c r="B13" s="22" t="s">
        <v>51</v>
      </c>
      <c r="C13" s="22">
        <v>24</v>
      </c>
      <c r="D13" s="23">
        <v>31</v>
      </c>
      <c r="E13" s="25">
        <f t="shared" si="0"/>
        <v>77.41935483870968</v>
      </c>
      <c r="J13" s="19"/>
      <c r="K13" s="13" t="s">
        <v>118</v>
      </c>
      <c r="L13" s="13">
        <v>25</v>
      </c>
      <c r="M13" s="13">
        <v>30</v>
      </c>
      <c r="N13" s="28">
        <f t="shared" si="1"/>
        <v>83.33</v>
      </c>
    </row>
    <row r="14" spans="2:14" ht="15" customHeight="1" thickBot="1" x14ac:dyDescent="0.3">
      <c r="B14" s="22" t="s">
        <v>52</v>
      </c>
      <c r="C14" s="22">
        <v>23</v>
      </c>
      <c r="D14" s="23">
        <v>30</v>
      </c>
      <c r="E14" s="25">
        <f t="shared" si="0"/>
        <v>76.666666666666671</v>
      </c>
      <c r="J14" s="19"/>
      <c r="K14" s="13" t="s">
        <v>119</v>
      </c>
      <c r="L14" s="13">
        <v>25</v>
      </c>
      <c r="M14" s="13">
        <v>30</v>
      </c>
      <c r="N14" s="28">
        <f t="shared" si="1"/>
        <v>83.33</v>
      </c>
    </row>
    <row r="15" spans="2:14" ht="15" customHeight="1" thickBot="1" x14ac:dyDescent="0.3">
      <c r="B15" s="22" t="s">
        <v>53</v>
      </c>
      <c r="C15" s="22">
        <v>21</v>
      </c>
      <c r="D15" s="23">
        <v>26</v>
      </c>
      <c r="E15" s="25">
        <f t="shared" si="0"/>
        <v>80.769230769230774</v>
      </c>
      <c r="J15" s="19"/>
      <c r="K15" s="13" t="s">
        <v>121</v>
      </c>
      <c r="L15" s="13">
        <v>25</v>
      </c>
      <c r="M15" s="13">
        <v>30</v>
      </c>
      <c r="N15" s="28">
        <f t="shared" si="1"/>
        <v>83.33</v>
      </c>
    </row>
    <row r="16" spans="2:14" ht="15" customHeight="1" thickBot="1" x14ac:dyDescent="0.3">
      <c r="B16" s="22" t="s">
        <v>54</v>
      </c>
      <c r="C16" s="22">
        <v>20</v>
      </c>
      <c r="D16" s="23">
        <v>37</v>
      </c>
      <c r="E16" s="25">
        <f t="shared" si="0"/>
        <v>54.054054054054056</v>
      </c>
      <c r="J16" s="19"/>
      <c r="K16" s="13" t="s">
        <v>133</v>
      </c>
      <c r="L16" s="13">
        <v>20</v>
      </c>
      <c r="M16" s="13">
        <v>30</v>
      </c>
      <c r="N16" s="28">
        <f t="shared" si="1"/>
        <v>66.67</v>
      </c>
    </row>
    <row r="17" spans="2:14" ht="15" customHeight="1" thickBot="1" x14ac:dyDescent="0.3">
      <c r="B17" s="22" t="s">
        <v>55</v>
      </c>
      <c r="C17" s="22">
        <v>17</v>
      </c>
      <c r="D17" s="23">
        <v>31</v>
      </c>
      <c r="E17" s="25">
        <f t="shared" si="0"/>
        <v>54.838709677419352</v>
      </c>
      <c r="J17" s="19"/>
      <c r="K17" s="13" t="s">
        <v>130</v>
      </c>
      <c r="L17" s="13">
        <v>12</v>
      </c>
      <c r="M17" s="13">
        <v>30</v>
      </c>
      <c r="N17" s="28">
        <f t="shared" si="1"/>
        <v>40</v>
      </c>
    </row>
    <row r="18" spans="2:14" ht="15" customHeight="1" thickBot="1" x14ac:dyDescent="0.3">
      <c r="B18" s="22" t="s">
        <v>56</v>
      </c>
      <c r="C18" s="22">
        <v>17</v>
      </c>
      <c r="D18" s="23">
        <v>34</v>
      </c>
      <c r="E18" s="25">
        <f t="shared" si="0"/>
        <v>50</v>
      </c>
      <c r="J18" s="19"/>
      <c r="K18" s="13" t="s">
        <v>125</v>
      </c>
      <c r="L18" s="13">
        <v>9</v>
      </c>
      <c r="M18" s="13">
        <v>30</v>
      </c>
      <c r="N18" s="28">
        <f t="shared" si="1"/>
        <v>30</v>
      </c>
    </row>
    <row r="19" spans="2:14" ht="15" customHeight="1" thickBot="1" x14ac:dyDescent="0.3">
      <c r="B19" s="24" t="s">
        <v>136</v>
      </c>
      <c r="C19" s="26">
        <f>SUM(C3:C18)</f>
        <v>388</v>
      </c>
      <c r="D19" s="24">
        <v>507</v>
      </c>
      <c r="E19" s="27">
        <f>(C19/D19)*100</f>
        <v>76.528599605522686</v>
      </c>
      <c r="L19" s="29">
        <f>SUM(L3:L18)</f>
        <v>406</v>
      </c>
      <c r="M19" s="29">
        <f>SUM(M3:M18)</f>
        <v>480</v>
      </c>
      <c r="N19" s="30">
        <f>(L19/M19) * 100</f>
        <v>84.583333333333329</v>
      </c>
    </row>
    <row r="29" spans="2:14" ht="45" x14ac:dyDescent="0.25">
      <c r="B29" s="14"/>
      <c r="C29" s="7" t="s">
        <v>1</v>
      </c>
      <c r="D29" s="7" t="s">
        <v>2</v>
      </c>
      <c r="E29" s="7" t="s">
        <v>3</v>
      </c>
      <c r="F29" s="7" t="s">
        <v>5</v>
      </c>
      <c r="G29" s="7" t="s">
        <v>4</v>
      </c>
      <c r="H29" s="7" t="s">
        <v>6</v>
      </c>
      <c r="I29" s="7" t="s">
        <v>8</v>
      </c>
      <c r="J29" s="7" t="s">
        <v>9</v>
      </c>
      <c r="K29" s="7" t="s">
        <v>99</v>
      </c>
      <c r="L29" s="7" t="s">
        <v>100</v>
      </c>
    </row>
    <row r="30" spans="2:14" x14ac:dyDescent="0.25">
      <c r="B30" s="7" t="s">
        <v>101</v>
      </c>
      <c r="C30" s="14"/>
      <c r="D30" s="14"/>
      <c r="E30" s="14"/>
      <c r="F30" s="14"/>
      <c r="G30" s="14"/>
      <c r="H30" s="9"/>
      <c r="I30" s="9"/>
      <c r="J30" s="9"/>
      <c r="K30" s="15"/>
      <c r="L30" s="15"/>
    </row>
    <row r="31" spans="2:14" x14ac:dyDescent="0.25">
      <c r="B31" s="16" t="s">
        <v>102</v>
      </c>
      <c r="C31" s="3">
        <v>9.0500000000000007</v>
      </c>
      <c r="D31" s="3">
        <v>852.62</v>
      </c>
      <c r="E31" s="3">
        <v>60.16</v>
      </c>
      <c r="F31" s="3">
        <v>6.02</v>
      </c>
      <c r="G31" s="2">
        <v>1111.1099999999999</v>
      </c>
      <c r="H31" s="3">
        <v>415.81</v>
      </c>
      <c r="I31" s="3">
        <v>14.77</v>
      </c>
      <c r="J31" s="3">
        <v>77.06</v>
      </c>
      <c r="K31" s="3">
        <v>430.09</v>
      </c>
      <c r="L31" s="3">
        <v>413.27</v>
      </c>
    </row>
    <row r="32" spans="2:14" x14ac:dyDescent="0.25">
      <c r="B32" s="16" t="s">
        <v>103</v>
      </c>
      <c r="C32" s="3">
        <v>8.7200000000000006</v>
      </c>
      <c r="D32" s="3">
        <v>817.4</v>
      </c>
      <c r="E32" s="3">
        <v>62.78</v>
      </c>
      <c r="F32" s="3">
        <v>5.65</v>
      </c>
      <c r="G32" s="2">
        <v>1057.0999999999999</v>
      </c>
      <c r="H32" s="3">
        <v>398.66</v>
      </c>
      <c r="I32" s="3">
        <v>14.26</v>
      </c>
      <c r="J32" s="3">
        <v>76.09</v>
      </c>
      <c r="K32" s="3">
        <v>411.71</v>
      </c>
      <c r="L32" s="3">
        <v>394.71</v>
      </c>
    </row>
    <row r="33" spans="2:12" x14ac:dyDescent="0.25">
      <c r="B33" s="16" t="s">
        <v>104</v>
      </c>
      <c r="C33" s="3">
        <v>7.59</v>
      </c>
      <c r="D33" s="3">
        <v>876.08</v>
      </c>
      <c r="E33" s="3">
        <v>58.3</v>
      </c>
      <c r="F33" s="3">
        <v>7.45</v>
      </c>
      <c r="G33" s="3">
        <v>931.96</v>
      </c>
      <c r="H33" s="3">
        <v>351.26</v>
      </c>
      <c r="I33" s="3">
        <v>12.58</v>
      </c>
      <c r="J33" s="3">
        <v>62.15</v>
      </c>
      <c r="K33" s="3">
        <v>337.06</v>
      </c>
      <c r="L33" s="3">
        <v>323.83</v>
      </c>
    </row>
    <row r="34" spans="2:12" x14ac:dyDescent="0.25">
      <c r="C34">
        <f t="shared" ref="C34:I34" si="2">SUM(C31:C33)</f>
        <v>25.360000000000003</v>
      </c>
      <c r="D34">
        <f t="shared" si="2"/>
        <v>2546.1</v>
      </c>
      <c r="E34">
        <f t="shared" si="2"/>
        <v>181.24</v>
      </c>
      <c r="F34">
        <f t="shared" si="2"/>
        <v>19.12</v>
      </c>
      <c r="G34" s="17">
        <f t="shared" si="2"/>
        <v>3100.17</v>
      </c>
      <c r="H34">
        <f t="shared" si="2"/>
        <v>1165.73</v>
      </c>
      <c r="I34">
        <f t="shared" si="2"/>
        <v>41.61</v>
      </c>
      <c r="K34">
        <f>SUM(K31:K33)</f>
        <v>1178.8599999999999</v>
      </c>
      <c r="L34">
        <f>SUM(L31:L33)</f>
        <v>1131.81</v>
      </c>
    </row>
    <row r="36" spans="2:12" x14ac:dyDescent="0.25">
      <c r="B36" s="16"/>
    </row>
    <row r="37" spans="2:12" x14ac:dyDescent="0.25">
      <c r="B37" s="16"/>
    </row>
    <row r="38" spans="2:12" x14ac:dyDescent="0.25">
      <c r="B38" s="16"/>
    </row>
    <row r="41" spans="2:12" x14ac:dyDescent="0.25">
      <c r="C41" t="s">
        <v>1</v>
      </c>
      <c r="D41" t="s">
        <v>2</v>
      </c>
      <c r="E41" t="s">
        <v>3</v>
      </c>
      <c r="F41" t="s">
        <v>5</v>
      </c>
      <c r="G41" t="s">
        <v>6</v>
      </c>
      <c r="H41" t="s">
        <v>99</v>
      </c>
      <c r="I41" t="s">
        <v>100</v>
      </c>
    </row>
    <row r="42" spans="2:12" x14ac:dyDescent="0.25">
      <c r="B42" t="s">
        <v>102</v>
      </c>
      <c r="C42">
        <v>35.69</v>
      </c>
      <c r="D42">
        <v>33.49</v>
      </c>
      <c r="E42">
        <v>33.19</v>
      </c>
      <c r="F42">
        <v>31.49</v>
      </c>
      <c r="G42">
        <v>35.67</v>
      </c>
      <c r="H42">
        <v>36.479999999999997</v>
      </c>
      <c r="I42">
        <v>36.51</v>
      </c>
    </row>
    <row r="43" spans="2:12" x14ac:dyDescent="0.25">
      <c r="B43" t="s">
        <v>103</v>
      </c>
      <c r="C43">
        <v>34.380000000000003</v>
      </c>
      <c r="D43">
        <v>32.1</v>
      </c>
      <c r="E43">
        <v>34.64</v>
      </c>
      <c r="F43">
        <v>29.55</v>
      </c>
      <c r="G43">
        <v>34.200000000000003</v>
      </c>
      <c r="H43">
        <v>34.92</v>
      </c>
      <c r="I43">
        <v>34.869999999999997</v>
      </c>
    </row>
    <row r="44" spans="2:12" x14ac:dyDescent="0.25">
      <c r="B44" t="s">
        <v>104</v>
      </c>
      <c r="C44">
        <v>29.93</v>
      </c>
      <c r="D44">
        <v>34.409999999999997</v>
      </c>
      <c r="E44">
        <v>32.17</v>
      </c>
      <c r="F44">
        <v>38.96</v>
      </c>
      <c r="G44">
        <v>30.13</v>
      </c>
      <c r="H44">
        <v>28.59</v>
      </c>
      <c r="I44">
        <v>28.61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25C8B-028E-49DA-9F7E-B91A315D61CC}">
  <dimension ref="B2:Q60"/>
  <sheetViews>
    <sheetView topLeftCell="A120" zoomScale="112" zoomScaleNormal="112" workbookViewId="0">
      <selection activeCell="D31" sqref="D31"/>
    </sheetView>
  </sheetViews>
  <sheetFormatPr defaultRowHeight="15" x14ac:dyDescent="0.25"/>
  <cols>
    <col min="3" max="3" width="19.140625" customWidth="1"/>
    <col min="4" max="4" width="7.28515625" customWidth="1"/>
    <col min="5" max="5" width="9.7109375" customWidth="1"/>
    <col min="6" max="6" width="6.85546875" customWidth="1"/>
    <col min="7" max="7" width="8.85546875" customWidth="1"/>
    <col min="8" max="8" width="7.42578125" customWidth="1"/>
    <col min="9" max="9" width="10.5703125" customWidth="1"/>
    <col min="10" max="10" width="11.140625" customWidth="1"/>
    <col min="11" max="11" width="8.5703125" customWidth="1"/>
    <col min="12" max="12" width="7.28515625" customWidth="1"/>
    <col min="13" max="13" width="11.28515625" customWidth="1"/>
    <col min="14" max="14" width="7.85546875" customWidth="1"/>
    <col min="15" max="15" width="8.140625" customWidth="1"/>
    <col min="16" max="16" width="7.7109375" customWidth="1"/>
  </cols>
  <sheetData>
    <row r="2" spans="3:6" ht="15" customHeight="1" thickBot="1" x14ac:dyDescent="0.3">
      <c r="D2" s="43" t="s">
        <v>40</v>
      </c>
      <c r="E2" s="7" t="s">
        <v>94</v>
      </c>
      <c r="F2" s="10"/>
    </row>
    <row r="3" spans="3:6" ht="15" customHeight="1" thickBot="1" x14ac:dyDescent="0.3">
      <c r="C3" s="20"/>
      <c r="D3" s="44" t="s">
        <v>51</v>
      </c>
      <c r="E3" s="13">
        <v>11.2</v>
      </c>
      <c r="F3" s="12"/>
    </row>
    <row r="4" spans="3:6" ht="15" customHeight="1" thickBot="1" x14ac:dyDescent="0.3">
      <c r="C4" s="20"/>
      <c r="D4" s="44" t="s">
        <v>49</v>
      </c>
      <c r="E4" s="13">
        <v>11.16</v>
      </c>
      <c r="F4" s="12"/>
    </row>
    <row r="5" spans="3:6" ht="15" customHeight="1" thickBot="1" x14ac:dyDescent="0.3">
      <c r="C5" s="20"/>
      <c r="D5" s="44" t="s">
        <v>47</v>
      </c>
      <c r="E5" s="13">
        <v>11.066667000000001</v>
      </c>
      <c r="F5" s="12"/>
    </row>
    <row r="6" spans="3:6" ht="15" customHeight="1" thickBot="1" x14ac:dyDescent="0.3">
      <c r="C6" s="20"/>
      <c r="D6" s="44" t="s">
        <v>42</v>
      </c>
      <c r="E6" s="13">
        <v>11.04</v>
      </c>
      <c r="F6" s="12"/>
    </row>
    <row r="7" spans="3:6" ht="15" customHeight="1" thickBot="1" x14ac:dyDescent="0.3">
      <c r="C7" s="20"/>
      <c r="D7" s="44" t="s">
        <v>41</v>
      </c>
      <c r="E7" s="13">
        <v>11.033333000000001</v>
      </c>
      <c r="F7" s="12"/>
    </row>
    <row r="8" spans="3:6" ht="15" customHeight="1" thickBot="1" x14ac:dyDescent="0.3">
      <c r="C8" s="20"/>
      <c r="D8" s="44" t="s">
        <v>50</v>
      </c>
      <c r="E8" s="13">
        <v>10.933332999999999</v>
      </c>
      <c r="F8" s="12"/>
    </row>
    <row r="9" spans="3:6" ht="15" customHeight="1" thickBot="1" x14ac:dyDescent="0.3">
      <c r="C9" s="20"/>
      <c r="D9" s="44" t="s">
        <v>43</v>
      </c>
      <c r="E9" s="13">
        <v>10.571429</v>
      </c>
      <c r="F9" s="12"/>
    </row>
    <row r="10" spans="3:6" ht="15" customHeight="1" thickBot="1" x14ac:dyDescent="0.3">
      <c r="C10" s="20"/>
      <c r="D10" s="44" t="s">
        <v>55</v>
      </c>
      <c r="E10" s="13">
        <v>10.333333</v>
      </c>
      <c r="F10" s="12"/>
    </row>
    <row r="11" spans="3:6" ht="15" customHeight="1" thickBot="1" x14ac:dyDescent="0.3">
      <c r="C11" s="20"/>
      <c r="D11" s="44" t="s">
        <v>45</v>
      </c>
      <c r="E11" s="13">
        <v>9.8965519999999998</v>
      </c>
      <c r="F11" s="12"/>
    </row>
    <row r="12" spans="3:6" ht="15" customHeight="1" thickBot="1" x14ac:dyDescent="0.3">
      <c r="C12" s="20"/>
      <c r="D12" s="44" t="s">
        <v>52</v>
      </c>
      <c r="E12" s="13">
        <v>9.8275860000000002</v>
      </c>
      <c r="F12" s="12"/>
    </row>
    <row r="13" spans="3:6" ht="15" customHeight="1" thickBot="1" x14ac:dyDescent="0.3">
      <c r="C13" s="20"/>
      <c r="D13" s="44" t="s">
        <v>48</v>
      </c>
      <c r="E13" s="13">
        <v>9.5</v>
      </c>
      <c r="F13" s="12"/>
    </row>
    <row r="14" spans="3:6" ht="15" customHeight="1" thickBot="1" x14ac:dyDescent="0.3">
      <c r="C14" s="20"/>
      <c r="D14" s="44" t="s">
        <v>44</v>
      </c>
      <c r="E14" s="13">
        <v>9.1999999999999993</v>
      </c>
      <c r="F14" s="12"/>
    </row>
    <row r="15" spans="3:6" ht="15" customHeight="1" thickBot="1" x14ac:dyDescent="0.3">
      <c r="C15" s="20"/>
      <c r="D15" s="44" t="s">
        <v>54</v>
      </c>
      <c r="E15" s="13">
        <v>8.8333329999999997</v>
      </c>
      <c r="F15" s="12"/>
    </row>
    <row r="16" spans="3:6" ht="15" customHeight="1" thickBot="1" x14ac:dyDescent="0.3">
      <c r="C16" s="20"/>
      <c r="D16" s="44" t="s">
        <v>46</v>
      </c>
      <c r="E16" s="13">
        <v>7.5185190000000004</v>
      </c>
      <c r="F16" s="12"/>
    </row>
    <row r="17" spans="2:17" ht="15" customHeight="1" thickBot="1" x14ac:dyDescent="0.3">
      <c r="C17" s="20"/>
      <c r="D17" s="44" t="s">
        <v>53</v>
      </c>
      <c r="E17" s="13">
        <v>7.5172410000000003</v>
      </c>
      <c r="F17" s="12"/>
    </row>
    <row r="18" spans="2:17" ht="15" customHeight="1" thickBot="1" x14ac:dyDescent="0.3">
      <c r="C18" s="20"/>
      <c r="D18" s="44" t="s">
        <v>56</v>
      </c>
      <c r="E18" s="13">
        <v>6.2</v>
      </c>
      <c r="F18" s="12"/>
    </row>
    <row r="21" spans="2:17" ht="42" x14ac:dyDescent="0.25">
      <c r="B21" s="18" t="s">
        <v>115</v>
      </c>
      <c r="C21" s="18" t="s">
        <v>40</v>
      </c>
      <c r="D21" s="18" t="s">
        <v>106</v>
      </c>
      <c r="E21" s="18" t="s">
        <v>108</v>
      </c>
      <c r="F21" s="18" t="s">
        <v>137</v>
      </c>
      <c r="G21" s="18" t="s">
        <v>116</v>
      </c>
      <c r="H21" s="18" t="s">
        <v>109</v>
      </c>
      <c r="I21" s="18" t="s">
        <v>95</v>
      </c>
      <c r="J21" s="18" t="s">
        <v>96</v>
      </c>
      <c r="K21" s="18" t="s">
        <v>110</v>
      </c>
      <c r="L21" s="18" t="s">
        <v>105</v>
      </c>
      <c r="M21" s="18" t="s">
        <v>107</v>
      </c>
      <c r="N21" s="18" t="s">
        <v>111</v>
      </c>
      <c r="O21" s="18" t="s">
        <v>112</v>
      </c>
      <c r="P21" s="18" t="s">
        <v>113</v>
      </c>
      <c r="Q21" s="18" t="s">
        <v>114</v>
      </c>
    </row>
    <row r="22" spans="2:17" ht="15" customHeight="1" x14ac:dyDescent="0.25">
      <c r="B22" s="31">
        <v>1</v>
      </c>
      <c r="C22" s="32" t="s">
        <v>45</v>
      </c>
      <c r="D22" s="37">
        <v>8.89</v>
      </c>
      <c r="E22" s="37">
        <v>915.56</v>
      </c>
      <c r="F22" s="37">
        <v>65.02</v>
      </c>
      <c r="G22" s="41">
        <v>1086.18</v>
      </c>
      <c r="H22" s="37">
        <v>8.11</v>
      </c>
      <c r="I22" s="37">
        <v>413.9</v>
      </c>
      <c r="J22" s="37">
        <v>395.91</v>
      </c>
      <c r="K22" s="37">
        <v>410.33</v>
      </c>
      <c r="L22" s="45">
        <v>30.5</v>
      </c>
      <c r="M22" s="37">
        <v>88.55</v>
      </c>
      <c r="N22" s="37">
        <v>14.35</v>
      </c>
      <c r="O22" s="37">
        <v>72.040000000000006</v>
      </c>
      <c r="P22" s="37">
        <v>4.13</v>
      </c>
      <c r="Q22" s="37">
        <v>3.95</v>
      </c>
    </row>
    <row r="23" spans="2:17" ht="15" customHeight="1" x14ac:dyDescent="0.25">
      <c r="B23" s="33">
        <v>2</v>
      </c>
      <c r="C23" s="34" t="s">
        <v>50</v>
      </c>
      <c r="D23" s="38">
        <v>7.66</v>
      </c>
      <c r="E23" s="38">
        <v>749.27</v>
      </c>
      <c r="F23" s="38">
        <v>54.47</v>
      </c>
      <c r="G23" s="38">
        <v>954.19</v>
      </c>
      <c r="H23" s="38">
        <v>5.01</v>
      </c>
      <c r="I23" s="38">
        <v>365.12</v>
      </c>
      <c r="J23" s="38">
        <v>349.69</v>
      </c>
      <c r="K23" s="38">
        <v>345.49</v>
      </c>
      <c r="L23" s="38">
        <v>29.47</v>
      </c>
      <c r="M23" s="38">
        <v>83.47</v>
      </c>
      <c r="N23" s="38">
        <v>13.47</v>
      </c>
      <c r="O23" s="38">
        <v>68.5</v>
      </c>
      <c r="P23" s="38">
        <v>3.98</v>
      </c>
      <c r="Q23" s="38">
        <v>3.81</v>
      </c>
    </row>
    <row r="24" spans="2:17" ht="15" customHeight="1" x14ac:dyDescent="0.25">
      <c r="B24" s="33">
        <v>3</v>
      </c>
      <c r="C24" s="34" t="s">
        <v>44</v>
      </c>
      <c r="D24" s="38">
        <v>8.7899999999999991</v>
      </c>
      <c r="E24" s="38">
        <v>768.21</v>
      </c>
      <c r="F24" s="38">
        <v>57.25</v>
      </c>
      <c r="G24" s="38">
        <v>1110.8399999999999</v>
      </c>
      <c r="H24" s="38">
        <v>5.84</v>
      </c>
      <c r="I24" s="38">
        <v>417.84</v>
      </c>
      <c r="J24" s="38">
        <v>398.85</v>
      </c>
      <c r="K24" s="38">
        <v>401.96</v>
      </c>
      <c r="L24" s="38">
        <v>29.57</v>
      </c>
      <c r="M24" s="38">
        <v>88.27</v>
      </c>
      <c r="N24" s="38">
        <v>14.11</v>
      </c>
      <c r="O24" s="38">
        <v>72.760000000000005</v>
      </c>
      <c r="P24" s="38">
        <v>4.1900000000000004</v>
      </c>
      <c r="Q24" s="38">
        <v>4</v>
      </c>
    </row>
    <row r="25" spans="2:17" ht="15" customHeight="1" x14ac:dyDescent="0.25">
      <c r="B25" s="33">
        <v>4</v>
      </c>
      <c r="C25" s="34" t="s">
        <v>49</v>
      </c>
      <c r="D25" s="38">
        <v>8.5399999999999991</v>
      </c>
      <c r="E25" s="38">
        <v>881.9</v>
      </c>
      <c r="F25" s="38">
        <v>61.74</v>
      </c>
      <c r="G25" s="38">
        <v>1040.49</v>
      </c>
      <c r="H25" s="38">
        <v>5.47</v>
      </c>
      <c r="I25" s="38">
        <v>406.74</v>
      </c>
      <c r="J25" s="38">
        <v>390.82</v>
      </c>
      <c r="K25" s="38">
        <v>391.89</v>
      </c>
      <c r="L25" s="38">
        <v>29.77</v>
      </c>
      <c r="M25" s="38">
        <v>86.98</v>
      </c>
      <c r="N25" s="38">
        <v>13.99</v>
      </c>
      <c r="O25" s="38">
        <v>72.36</v>
      </c>
      <c r="P25" s="38">
        <v>4.1399999999999997</v>
      </c>
      <c r="Q25" s="38">
        <v>3.98</v>
      </c>
    </row>
    <row r="26" spans="2:17" ht="15" customHeight="1" x14ac:dyDescent="0.25">
      <c r="B26" s="33">
        <v>5</v>
      </c>
      <c r="C26" s="34" t="s">
        <v>48</v>
      </c>
      <c r="D26" s="38">
        <v>9.08</v>
      </c>
      <c r="E26" s="38">
        <v>996.97</v>
      </c>
      <c r="F26" s="38">
        <v>69.680000000000007</v>
      </c>
      <c r="G26" s="38">
        <v>1112.52</v>
      </c>
      <c r="H26" s="38">
        <v>5.9</v>
      </c>
      <c r="I26" s="38">
        <v>426.67</v>
      </c>
      <c r="J26" s="38">
        <v>408.45</v>
      </c>
      <c r="K26" s="38">
        <v>406.89</v>
      </c>
      <c r="L26" s="38">
        <v>30.43</v>
      </c>
      <c r="M26" s="38">
        <v>91.87</v>
      </c>
      <c r="N26" s="38">
        <v>14.94</v>
      </c>
      <c r="O26" s="38">
        <v>78.47</v>
      </c>
      <c r="P26" s="38">
        <v>4.32</v>
      </c>
      <c r="Q26" s="38">
        <v>4.13</v>
      </c>
    </row>
    <row r="27" spans="2:17" ht="15" customHeight="1" x14ac:dyDescent="0.25">
      <c r="B27" s="33">
        <v>6</v>
      </c>
      <c r="C27" s="34" t="s">
        <v>133</v>
      </c>
      <c r="D27" s="38">
        <v>10.14</v>
      </c>
      <c r="E27" s="38">
        <v>1106.3</v>
      </c>
      <c r="F27" s="38">
        <v>72.8</v>
      </c>
      <c r="G27" s="38">
        <v>1228.8800000000001</v>
      </c>
      <c r="H27" s="38">
        <v>7.3</v>
      </c>
      <c r="I27" s="38">
        <v>448.6</v>
      </c>
      <c r="J27" s="38">
        <v>427.37</v>
      </c>
      <c r="K27" s="38">
        <v>455.93</v>
      </c>
      <c r="L27" s="38">
        <v>30.44</v>
      </c>
      <c r="M27" s="38">
        <v>103.71</v>
      </c>
      <c r="N27" s="38">
        <v>16.7</v>
      </c>
      <c r="O27" s="38">
        <v>89.39</v>
      </c>
      <c r="P27" s="38">
        <v>4.59</v>
      </c>
      <c r="Q27" s="38">
        <v>4.37</v>
      </c>
    </row>
    <row r="28" spans="2:17" ht="15" customHeight="1" x14ac:dyDescent="0.25">
      <c r="B28" s="33">
        <v>7</v>
      </c>
      <c r="C28" s="34" t="s">
        <v>43</v>
      </c>
      <c r="D28" s="38">
        <v>8.26</v>
      </c>
      <c r="E28" s="38">
        <v>804.77</v>
      </c>
      <c r="F28" s="38">
        <v>56.29</v>
      </c>
      <c r="G28" s="38">
        <v>1004.01</v>
      </c>
      <c r="H28" s="38">
        <v>5.46</v>
      </c>
      <c r="I28" s="38">
        <v>377.44</v>
      </c>
      <c r="J28" s="38">
        <v>358.92</v>
      </c>
      <c r="K28" s="38">
        <v>381.75</v>
      </c>
      <c r="L28" s="38">
        <v>29.75</v>
      </c>
      <c r="M28" s="38">
        <v>83.77</v>
      </c>
      <c r="N28" s="38">
        <v>13.43</v>
      </c>
      <c r="O28" s="38">
        <v>69.819999999999993</v>
      </c>
      <c r="P28" s="38">
        <v>3.82</v>
      </c>
      <c r="Q28" s="38">
        <v>3.64</v>
      </c>
    </row>
    <row r="29" spans="2:17" ht="15" customHeight="1" x14ac:dyDescent="0.25">
      <c r="B29" s="33">
        <v>8</v>
      </c>
      <c r="C29" s="34" t="s">
        <v>51</v>
      </c>
      <c r="D29" s="38">
        <v>8.99</v>
      </c>
      <c r="E29" s="38">
        <v>975.17</v>
      </c>
      <c r="F29" s="38">
        <v>67.97</v>
      </c>
      <c r="G29" s="38">
        <v>1106.8</v>
      </c>
      <c r="H29" s="38">
        <v>4.7</v>
      </c>
      <c r="I29" s="38">
        <v>419.14</v>
      </c>
      <c r="J29" s="38">
        <v>403.48</v>
      </c>
      <c r="K29" s="38">
        <v>410.13</v>
      </c>
      <c r="L29" s="38">
        <v>29.74</v>
      </c>
      <c r="M29" s="38">
        <v>92.39</v>
      </c>
      <c r="N29" s="38">
        <v>14.93</v>
      </c>
      <c r="O29" s="38">
        <v>78.3</v>
      </c>
      <c r="P29" s="38">
        <v>4.3099999999999996</v>
      </c>
      <c r="Q29" s="38">
        <v>4.1500000000000004</v>
      </c>
    </row>
    <row r="30" spans="2:17" ht="15" customHeight="1" x14ac:dyDescent="0.25">
      <c r="B30" s="33">
        <v>9</v>
      </c>
      <c r="C30" s="34" t="s">
        <v>55</v>
      </c>
      <c r="D30" s="38">
        <v>8.7899999999999991</v>
      </c>
      <c r="E30" s="38">
        <v>876.27</v>
      </c>
      <c r="F30" s="38">
        <v>63.72</v>
      </c>
      <c r="G30" s="38">
        <v>1094.1300000000001</v>
      </c>
      <c r="H30" s="38">
        <v>6.89</v>
      </c>
      <c r="I30" s="38">
        <v>443.81</v>
      </c>
      <c r="J30" s="38">
        <v>425.07</v>
      </c>
      <c r="K30" s="38">
        <v>418.72</v>
      </c>
      <c r="L30" s="38">
        <v>29.31</v>
      </c>
      <c r="M30" s="38">
        <v>87.57</v>
      </c>
      <c r="N30" s="38">
        <v>14.28</v>
      </c>
      <c r="O30" s="38">
        <v>73.510000000000005</v>
      </c>
      <c r="P30" s="38">
        <v>4.42</v>
      </c>
      <c r="Q30" s="38">
        <v>4.24</v>
      </c>
    </row>
    <row r="31" spans="2:17" ht="15" customHeight="1" x14ac:dyDescent="0.25">
      <c r="B31" s="33">
        <v>10</v>
      </c>
      <c r="C31" s="34" t="s">
        <v>52</v>
      </c>
      <c r="D31" s="38">
        <v>8</v>
      </c>
      <c r="E31" s="38">
        <v>810.41</v>
      </c>
      <c r="F31" s="38">
        <v>56.33</v>
      </c>
      <c r="G31" s="38">
        <v>965.37</v>
      </c>
      <c r="H31" s="38">
        <v>6.9</v>
      </c>
      <c r="I31" s="38">
        <v>352.06</v>
      </c>
      <c r="J31" s="38">
        <v>341.35</v>
      </c>
      <c r="K31" s="38">
        <v>365.74</v>
      </c>
      <c r="L31" s="38">
        <v>29.68</v>
      </c>
      <c r="M31" s="38">
        <v>82.34</v>
      </c>
      <c r="N31" s="38">
        <v>13.16</v>
      </c>
      <c r="O31" s="38">
        <v>67.849999999999994</v>
      </c>
      <c r="P31" s="38">
        <v>3.62</v>
      </c>
      <c r="Q31" s="38">
        <v>3.51</v>
      </c>
    </row>
    <row r="32" spans="2:17" ht="15" customHeight="1" x14ac:dyDescent="0.25">
      <c r="B32" s="33">
        <v>11</v>
      </c>
      <c r="C32" s="34" t="s">
        <v>46</v>
      </c>
      <c r="D32" s="38">
        <v>8.61</v>
      </c>
      <c r="E32" s="38">
        <v>804.9</v>
      </c>
      <c r="F32" s="38">
        <v>58.16</v>
      </c>
      <c r="G32" s="38">
        <v>1064.5999999999999</v>
      </c>
      <c r="H32" s="38">
        <v>6.86</v>
      </c>
      <c r="I32" s="38">
        <v>406.45</v>
      </c>
      <c r="J32" s="38">
        <v>391.56</v>
      </c>
      <c r="K32" s="38">
        <v>395.33</v>
      </c>
      <c r="L32" s="38">
        <v>29.32</v>
      </c>
      <c r="M32" s="38">
        <v>86.85</v>
      </c>
      <c r="N32" s="38">
        <v>13.93</v>
      </c>
      <c r="O32" s="38">
        <v>70.86</v>
      </c>
      <c r="P32" s="38">
        <v>4.0999999999999996</v>
      </c>
      <c r="Q32" s="38">
        <v>3.95</v>
      </c>
    </row>
    <row r="33" spans="2:17" ht="15" customHeight="1" x14ac:dyDescent="0.25">
      <c r="B33" s="33">
        <v>12</v>
      </c>
      <c r="C33" s="34" t="s">
        <v>41</v>
      </c>
      <c r="D33" s="38">
        <v>8.36</v>
      </c>
      <c r="E33" s="38">
        <v>821.88</v>
      </c>
      <c r="F33" s="38">
        <v>59.23</v>
      </c>
      <c r="G33" s="38">
        <v>1015.04</v>
      </c>
      <c r="H33" s="38">
        <v>6.65</v>
      </c>
      <c r="I33" s="38">
        <v>401.47</v>
      </c>
      <c r="J33" s="38">
        <v>385.89</v>
      </c>
      <c r="K33" s="38">
        <v>390.21</v>
      </c>
      <c r="L33" s="38">
        <v>29.12</v>
      </c>
      <c r="M33" s="38">
        <v>85.07</v>
      </c>
      <c r="N33" s="38">
        <v>13.68</v>
      </c>
      <c r="O33" s="38">
        <v>72.599999999999994</v>
      </c>
      <c r="P33" s="38">
        <v>4.09</v>
      </c>
      <c r="Q33" s="38">
        <v>3.93</v>
      </c>
    </row>
    <row r="34" spans="2:17" ht="15" customHeight="1" x14ac:dyDescent="0.25">
      <c r="B34" s="33">
        <v>13</v>
      </c>
      <c r="C34" s="34" t="s">
        <v>47</v>
      </c>
      <c r="D34" s="38">
        <v>8.42</v>
      </c>
      <c r="E34" s="38">
        <v>806.2</v>
      </c>
      <c r="F34" s="38">
        <v>58.88</v>
      </c>
      <c r="G34" s="38">
        <v>1023.59</v>
      </c>
      <c r="H34" s="38">
        <v>6.41</v>
      </c>
      <c r="I34" s="38">
        <v>393.49</v>
      </c>
      <c r="J34" s="38">
        <v>376.2</v>
      </c>
      <c r="K34" s="38">
        <v>383</v>
      </c>
      <c r="L34" s="38">
        <v>29.4</v>
      </c>
      <c r="M34" s="38">
        <v>85.85</v>
      </c>
      <c r="N34" s="38">
        <v>13.82</v>
      </c>
      <c r="O34" s="38">
        <v>72.08</v>
      </c>
      <c r="P34" s="38">
        <v>4.01</v>
      </c>
      <c r="Q34" s="38">
        <v>3.84</v>
      </c>
    </row>
    <row r="35" spans="2:17" ht="15" customHeight="1" x14ac:dyDescent="0.25">
      <c r="B35" s="35">
        <v>14</v>
      </c>
      <c r="C35" s="36" t="s">
        <v>53</v>
      </c>
      <c r="D35" s="39">
        <v>9.68</v>
      </c>
      <c r="E35" s="39">
        <v>853.28</v>
      </c>
      <c r="F35" s="40">
        <v>64.53</v>
      </c>
      <c r="G35" s="42">
        <v>1161.1300000000001</v>
      </c>
      <c r="H35" s="39">
        <v>7.76</v>
      </c>
      <c r="I35" s="40">
        <v>445.92</v>
      </c>
      <c r="J35" s="39">
        <v>431.16</v>
      </c>
      <c r="K35" s="39">
        <v>452.04</v>
      </c>
      <c r="L35" s="39">
        <v>29.25</v>
      </c>
      <c r="M35" s="39">
        <v>98.61</v>
      </c>
      <c r="N35" s="39">
        <v>15.69</v>
      </c>
      <c r="O35" s="39">
        <v>81.7</v>
      </c>
      <c r="P35" s="39">
        <v>4.54</v>
      </c>
      <c r="Q35" s="39">
        <v>4.3899999999999997</v>
      </c>
    </row>
    <row r="36" spans="2:17" ht="15" customHeight="1" x14ac:dyDescent="0.25">
      <c r="B36" s="35">
        <v>15</v>
      </c>
      <c r="C36" s="36" t="s">
        <v>42</v>
      </c>
      <c r="D36" s="39">
        <v>8.36</v>
      </c>
      <c r="E36" s="39">
        <v>806.32</v>
      </c>
      <c r="F36" s="40">
        <v>58.37</v>
      </c>
      <c r="G36" s="42">
        <v>1012.8</v>
      </c>
      <c r="H36" s="39">
        <v>7.36</v>
      </c>
      <c r="I36" s="40">
        <v>385.62</v>
      </c>
      <c r="J36" s="39">
        <v>371.93</v>
      </c>
      <c r="K36" s="39">
        <v>387.39</v>
      </c>
      <c r="L36" s="39">
        <v>28.89</v>
      </c>
      <c r="M36" s="39">
        <v>84.09</v>
      </c>
      <c r="N36" s="39">
        <v>13.5</v>
      </c>
      <c r="O36" s="39">
        <v>70.680000000000007</v>
      </c>
      <c r="P36" s="39">
        <v>3.88</v>
      </c>
      <c r="Q36" s="39">
        <v>3.74</v>
      </c>
    </row>
    <row r="37" spans="2:17" ht="15" customHeight="1" x14ac:dyDescent="0.25">
      <c r="B37" s="35">
        <v>16</v>
      </c>
      <c r="C37" s="36" t="s">
        <v>54</v>
      </c>
      <c r="D37" s="39">
        <v>8.31</v>
      </c>
      <c r="E37" s="39">
        <v>824.31</v>
      </c>
      <c r="F37" s="40">
        <v>57.47</v>
      </c>
      <c r="G37" s="42">
        <v>1026.51</v>
      </c>
      <c r="H37" s="39">
        <v>5.21</v>
      </c>
      <c r="I37" s="40">
        <v>365.57</v>
      </c>
      <c r="J37" s="39">
        <v>353.91</v>
      </c>
      <c r="K37" s="39">
        <v>386.23</v>
      </c>
      <c r="L37" s="39">
        <v>29.1</v>
      </c>
      <c r="M37" s="39">
        <v>84.07</v>
      </c>
      <c r="N37" s="39">
        <v>13.39</v>
      </c>
      <c r="O37" s="39">
        <v>69.62</v>
      </c>
      <c r="P37" s="39">
        <v>3.7</v>
      </c>
      <c r="Q37" s="39">
        <v>3.58</v>
      </c>
    </row>
    <row r="38" spans="2:17" ht="15" customHeight="1" x14ac:dyDescent="0.3">
      <c r="B38" s="84" t="s">
        <v>117</v>
      </c>
      <c r="C38" s="84"/>
      <c r="D38" s="46">
        <v>8.51</v>
      </c>
      <c r="E38" s="46">
        <v>843.54</v>
      </c>
      <c r="F38" s="47">
        <v>60.22</v>
      </c>
      <c r="G38" s="49">
        <v>1040.78</v>
      </c>
      <c r="H38" s="46">
        <v>6.29</v>
      </c>
      <c r="I38" s="48">
        <v>397.08</v>
      </c>
      <c r="J38" s="46">
        <v>381.1</v>
      </c>
      <c r="K38" s="46">
        <v>391.02</v>
      </c>
      <c r="L38" s="46">
        <v>29.59</v>
      </c>
      <c r="M38" s="46">
        <v>86.75</v>
      </c>
      <c r="N38" s="46">
        <v>13.96</v>
      </c>
      <c r="O38" s="46">
        <v>72.41</v>
      </c>
      <c r="P38" s="46">
        <v>4.05</v>
      </c>
      <c r="Q38" s="46">
        <v>3.89</v>
      </c>
    </row>
    <row r="41" spans="2:17" x14ac:dyDescent="0.25">
      <c r="C41" t="s">
        <v>40</v>
      </c>
      <c r="D41" t="s">
        <v>106</v>
      </c>
      <c r="E41" t="s">
        <v>108</v>
      </c>
      <c r="F41" t="s">
        <v>211</v>
      </c>
      <c r="G41" t="s">
        <v>115</v>
      </c>
    </row>
    <row r="42" spans="2:17" x14ac:dyDescent="0.25">
      <c r="C42" t="s">
        <v>45</v>
      </c>
      <c r="D42">
        <v>8.89</v>
      </c>
      <c r="E42">
        <v>915.56</v>
      </c>
      <c r="F42" s="73">
        <f>(E42/(D42*1000))*100</f>
        <v>10.298762654668165</v>
      </c>
      <c r="G42">
        <v>1</v>
      </c>
    </row>
    <row r="43" spans="2:17" x14ac:dyDescent="0.25">
      <c r="C43" t="s">
        <v>50</v>
      </c>
      <c r="D43">
        <v>7.66</v>
      </c>
      <c r="E43">
        <v>749.27</v>
      </c>
      <c r="F43" s="73">
        <f t="shared" ref="F43:F57" si="0">(E43/(D43*1000))*100</f>
        <v>9.7815926892950387</v>
      </c>
      <c r="G43">
        <v>2</v>
      </c>
    </row>
    <row r="44" spans="2:17" x14ac:dyDescent="0.25">
      <c r="C44" t="s">
        <v>44</v>
      </c>
      <c r="D44">
        <v>8.7899999999999991</v>
      </c>
      <c r="E44">
        <v>768.21</v>
      </c>
      <c r="F44" s="73">
        <f t="shared" si="0"/>
        <v>8.7395904436860068</v>
      </c>
      <c r="G44">
        <v>3</v>
      </c>
    </row>
    <row r="45" spans="2:17" x14ac:dyDescent="0.25">
      <c r="C45" t="s">
        <v>49</v>
      </c>
      <c r="D45">
        <v>8.5399999999999991</v>
      </c>
      <c r="E45">
        <v>881.9</v>
      </c>
      <c r="F45" s="73">
        <f t="shared" si="0"/>
        <v>10.326697892271662</v>
      </c>
      <c r="G45">
        <v>4</v>
      </c>
    </row>
    <row r="46" spans="2:17" x14ac:dyDescent="0.25">
      <c r="C46" t="s">
        <v>48</v>
      </c>
      <c r="D46">
        <v>9.08</v>
      </c>
      <c r="E46">
        <v>996.97</v>
      </c>
      <c r="F46" s="73">
        <f t="shared" si="0"/>
        <v>10.979845814977974</v>
      </c>
      <c r="G46">
        <v>5</v>
      </c>
    </row>
    <row r="47" spans="2:17" x14ac:dyDescent="0.25">
      <c r="C47" t="s">
        <v>133</v>
      </c>
      <c r="D47">
        <v>10.14</v>
      </c>
      <c r="E47">
        <v>1106.3</v>
      </c>
      <c r="F47" s="73">
        <f t="shared" si="0"/>
        <v>10.910256410256409</v>
      </c>
      <c r="G47">
        <v>6</v>
      </c>
    </row>
    <row r="48" spans="2:17" x14ac:dyDescent="0.25">
      <c r="C48" t="s">
        <v>43</v>
      </c>
      <c r="D48">
        <v>8.26</v>
      </c>
      <c r="E48">
        <v>804.77</v>
      </c>
      <c r="F48" s="73">
        <f t="shared" si="0"/>
        <v>9.7429782082324454</v>
      </c>
      <c r="G48">
        <v>7</v>
      </c>
    </row>
    <row r="49" spans="3:7" x14ac:dyDescent="0.25">
      <c r="C49" t="s">
        <v>51</v>
      </c>
      <c r="D49">
        <v>8.99</v>
      </c>
      <c r="E49">
        <v>975.17</v>
      </c>
      <c r="F49" s="73">
        <f t="shared" si="0"/>
        <v>10.847274749721912</v>
      </c>
      <c r="G49">
        <v>8</v>
      </c>
    </row>
    <row r="50" spans="3:7" x14ac:dyDescent="0.25">
      <c r="C50" t="s">
        <v>55</v>
      </c>
      <c r="D50">
        <v>8.7899999999999991</v>
      </c>
      <c r="E50">
        <v>876.27</v>
      </c>
      <c r="F50" s="73">
        <f t="shared" si="0"/>
        <v>9.9689419795221834</v>
      </c>
      <c r="G50">
        <v>9</v>
      </c>
    </row>
    <row r="51" spans="3:7" x14ac:dyDescent="0.25">
      <c r="C51" t="s">
        <v>52</v>
      </c>
      <c r="D51">
        <v>8</v>
      </c>
      <c r="E51">
        <v>810.41</v>
      </c>
      <c r="F51" s="73">
        <f t="shared" si="0"/>
        <v>10.130125</v>
      </c>
      <c r="G51">
        <v>10</v>
      </c>
    </row>
    <row r="52" spans="3:7" x14ac:dyDescent="0.25">
      <c r="C52" t="s">
        <v>46</v>
      </c>
      <c r="D52">
        <v>8.61</v>
      </c>
      <c r="E52">
        <v>804.9</v>
      </c>
      <c r="F52" s="73">
        <f t="shared" si="0"/>
        <v>9.3484320557491287</v>
      </c>
      <c r="G52">
        <v>11</v>
      </c>
    </row>
    <row r="53" spans="3:7" x14ac:dyDescent="0.25">
      <c r="C53" t="s">
        <v>41</v>
      </c>
      <c r="D53">
        <v>8.36</v>
      </c>
      <c r="E53">
        <v>821.88</v>
      </c>
      <c r="F53" s="73">
        <f t="shared" si="0"/>
        <v>9.8311004784688993</v>
      </c>
      <c r="G53">
        <v>12</v>
      </c>
    </row>
    <row r="54" spans="3:7" x14ac:dyDescent="0.25">
      <c r="C54" t="s">
        <v>47</v>
      </c>
      <c r="D54">
        <v>8.42</v>
      </c>
      <c r="E54">
        <v>806.2</v>
      </c>
      <c r="F54" s="73">
        <f t="shared" si="0"/>
        <v>9.574821852731592</v>
      </c>
      <c r="G54">
        <v>13</v>
      </c>
    </row>
    <row r="55" spans="3:7" x14ac:dyDescent="0.25">
      <c r="C55" t="s">
        <v>53</v>
      </c>
      <c r="D55">
        <v>9.68</v>
      </c>
      <c r="E55">
        <v>853.28</v>
      </c>
      <c r="F55" s="73">
        <f t="shared" si="0"/>
        <v>8.8148760330578515</v>
      </c>
      <c r="G55">
        <v>14</v>
      </c>
    </row>
    <row r="56" spans="3:7" x14ac:dyDescent="0.25">
      <c r="C56" t="s">
        <v>42</v>
      </c>
      <c r="D56">
        <v>8.36</v>
      </c>
      <c r="E56">
        <v>806.32</v>
      </c>
      <c r="F56" s="73">
        <f t="shared" si="0"/>
        <v>9.6449760765550252</v>
      </c>
      <c r="G56">
        <v>15</v>
      </c>
    </row>
    <row r="57" spans="3:7" x14ac:dyDescent="0.25">
      <c r="C57" t="s">
        <v>54</v>
      </c>
      <c r="D57">
        <v>8.31</v>
      </c>
      <c r="E57">
        <v>824.31</v>
      </c>
      <c r="F57" s="73">
        <f t="shared" si="0"/>
        <v>9.919494584837544</v>
      </c>
      <c r="G57">
        <v>16</v>
      </c>
    </row>
    <row r="60" spans="3:7" x14ac:dyDescent="0.25">
      <c r="F60">
        <f>CORREL(F41:F57,G41:G57)</f>
        <v>-0.3078378625790778</v>
      </c>
    </row>
  </sheetData>
  <sortState xmlns:xlrd2="http://schemas.microsoft.com/office/spreadsheetml/2017/richdata2" ref="B22:Q37">
    <sortCondition ref="B22:B37"/>
  </sortState>
  <mergeCells count="1">
    <mergeCell ref="B38:C38"/>
  </mergeCells>
  <conditionalFormatting sqref="D22:D37">
    <cfRule type="cellIs" dxfId="18" priority="5" operator="greaterThan">
      <formula>9</formula>
    </cfRule>
  </conditionalFormatting>
  <conditionalFormatting sqref="D23:Q23 D24:F34 H24:Q34">
    <cfRule type="cellIs" dxfId="17" priority="6" operator="greaterThan">
      <formula>1000</formula>
    </cfRule>
  </conditionalFormatting>
  <conditionalFormatting sqref="E22:E34">
    <cfRule type="cellIs" dxfId="16" priority="3" operator="greaterThan">
      <formula>1000</formula>
    </cfRule>
  </conditionalFormatting>
  <conditionalFormatting sqref="F22:F37">
    <cfRule type="cellIs" dxfId="15" priority="1" operator="greaterThan">
      <formula>60</formula>
    </cfRule>
  </conditionalFormatting>
  <conditionalFormatting sqref="F35:F37">
    <cfRule type="cellIs" dxfId="14" priority="10" operator="greaterThan">
      <formula>1000</formula>
    </cfRule>
  </conditionalFormatting>
  <conditionalFormatting sqref="H35:H37">
    <cfRule type="cellIs" dxfId="13" priority="9" operator="greaterThan">
      <formula>60</formula>
    </cfRule>
  </conditionalFormatting>
  <conditionalFormatting sqref="I35:I37">
    <cfRule type="cellIs" dxfId="12" priority="8" operator="greaterThan">
      <formula>1500</formula>
    </cfRule>
  </conditionalFormatting>
  <conditionalFormatting sqref="K22:K37">
    <cfRule type="cellIs" dxfId="11" priority="2" operator="greaterThan">
      <formula>400</formula>
    </cfRule>
  </conditionalFormatting>
  <conditionalFormatting sqref="M35:M37">
    <cfRule type="cellIs" dxfId="10" priority="7" operator="greaterThan">
      <formula>400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1B29C-AB23-4A0A-B529-4A73CA6C92A4}">
  <dimension ref="B1:AB82"/>
  <sheetViews>
    <sheetView tabSelected="1" topLeftCell="A68" workbookViewId="0">
      <selection activeCell="C66" sqref="C66:D82"/>
    </sheetView>
  </sheetViews>
  <sheetFormatPr defaultRowHeight="15" x14ac:dyDescent="0.25"/>
  <cols>
    <col min="1" max="1" width="5.28515625" customWidth="1"/>
    <col min="3" max="3" width="11.42578125" customWidth="1"/>
    <col min="4" max="4" width="15.42578125" customWidth="1"/>
    <col min="5" max="5" width="6.5703125" customWidth="1"/>
    <col min="6" max="6" width="6.85546875" customWidth="1"/>
    <col min="7" max="7" width="6.7109375" customWidth="1"/>
    <col min="8" max="8" width="8.140625" customWidth="1"/>
    <col min="9" max="9" width="8.5703125" customWidth="1"/>
    <col min="10" max="10" width="6.7109375" customWidth="1"/>
    <col min="11" max="11" width="6.28515625" customWidth="1"/>
    <col min="12" max="13" width="6.7109375" customWidth="1"/>
    <col min="14" max="14" width="7.28515625" customWidth="1"/>
    <col min="15" max="16" width="7" customWidth="1"/>
    <col min="17" max="17" width="7.28515625" customWidth="1"/>
    <col min="18" max="18" width="7.5703125" customWidth="1"/>
    <col min="19" max="19" width="6" customWidth="1"/>
    <col min="20" max="20" width="10" customWidth="1"/>
    <col min="21" max="21" width="10.7109375" customWidth="1"/>
    <col min="22" max="22" width="10.28515625" customWidth="1"/>
    <col min="23" max="23" width="10.140625" customWidth="1"/>
  </cols>
  <sheetData>
    <row r="1" spans="2:17" ht="15" customHeight="1" thickBot="1" x14ac:dyDescent="0.3">
      <c r="B1" s="1" t="s">
        <v>60</v>
      </c>
      <c r="C1" s="3">
        <v>15</v>
      </c>
      <c r="D1" s="1" t="s">
        <v>88</v>
      </c>
      <c r="E1" s="1" t="s">
        <v>89</v>
      </c>
      <c r="F1" s="19">
        <v>1</v>
      </c>
      <c r="G1" s="13" t="s">
        <v>89</v>
      </c>
      <c r="J1" s="7" t="s">
        <v>90</v>
      </c>
      <c r="K1" s="3" t="s">
        <v>91</v>
      </c>
      <c r="L1" s="3" t="s">
        <v>92</v>
      </c>
      <c r="M1" s="3" t="s">
        <v>93</v>
      </c>
      <c r="O1" s="10"/>
      <c r="P1" s="11"/>
      <c r="Q1" s="4"/>
    </row>
    <row r="2" spans="2:17" ht="15" customHeight="1" thickBot="1" x14ac:dyDescent="0.3">
      <c r="B2" s="1" t="s">
        <v>61</v>
      </c>
      <c r="C2" s="3">
        <v>16</v>
      </c>
      <c r="D2" s="13">
        <v>2053</v>
      </c>
      <c r="E2" s="13">
        <v>1935</v>
      </c>
      <c r="J2" s="9" t="s">
        <v>87</v>
      </c>
      <c r="K2" s="13">
        <v>1347</v>
      </c>
      <c r="L2" s="13">
        <v>1542</v>
      </c>
      <c r="M2" s="13">
        <v>1099</v>
      </c>
      <c r="O2" s="5"/>
      <c r="P2" s="6"/>
      <c r="Q2" s="5"/>
    </row>
    <row r="3" spans="2:17" ht="15" customHeight="1" thickBot="1" x14ac:dyDescent="0.3">
      <c r="B3" s="1" t="s">
        <v>62</v>
      </c>
      <c r="C3" s="3">
        <v>16</v>
      </c>
      <c r="D3" s="13">
        <v>51.479438000000002</v>
      </c>
      <c r="E3" s="13">
        <v>48.520561999999998</v>
      </c>
      <c r="J3" s="8" t="s">
        <v>59</v>
      </c>
      <c r="K3" s="13">
        <v>33.776328999999997</v>
      </c>
      <c r="L3" s="13">
        <v>38.665998000000002</v>
      </c>
      <c r="M3" s="13">
        <v>27.557673000000001</v>
      </c>
      <c r="O3" s="5"/>
      <c r="P3" s="6"/>
      <c r="Q3" s="5"/>
    </row>
    <row r="4" spans="2:17" x14ac:dyDescent="0.25">
      <c r="B4" s="1" t="s">
        <v>63</v>
      </c>
      <c r="C4" s="3">
        <v>13</v>
      </c>
      <c r="O4" s="5"/>
      <c r="P4" s="6"/>
      <c r="Q4" s="5"/>
    </row>
    <row r="5" spans="2:17" x14ac:dyDescent="0.25">
      <c r="B5" s="1" t="s">
        <v>64</v>
      </c>
      <c r="C5" s="3">
        <v>16</v>
      </c>
    </row>
    <row r="6" spans="2:17" x14ac:dyDescent="0.25">
      <c r="B6" s="1" t="s">
        <v>65</v>
      </c>
      <c r="C6" s="3">
        <v>10</v>
      </c>
    </row>
    <row r="7" spans="2:17" x14ac:dyDescent="0.25">
      <c r="B7" s="1" t="s">
        <v>66</v>
      </c>
      <c r="C7" s="3">
        <v>14</v>
      </c>
    </row>
    <row r="8" spans="2:17" x14ac:dyDescent="0.25">
      <c r="B8" s="1" t="s">
        <v>67</v>
      </c>
      <c r="C8" s="3">
        <v>13</v>
      </c>
    </row>
    <row r="9" spans="2:17" x14ac:dyDescent="0.25">
      <c r="B9" s="1" t="s">
        <v>68</v>
      </c>
      <c r="C9" s="3">
        <v>12</v>
      </c>
    </row>
    <row r="10" spans="2:17" x14ac:dyDescent="0.25">
      <c r="B10" s="1" t="s">
        <v>69</v>
      </c>
      <c r="C10" s="3">
        <v>13</v>
      </c>
    </row>
    <row r="11" spans="2:17" x14ac:dyDescent="0.25">
      <c r="B11" s="1" t="s">
        <v>70</v>
      </c>
      <c r="C11" s="3">
        <v>13</v>
      </c>
    </row>
    <row r="12" spans="2:17" x14ac:dyDescent="0.25">
      <c r="B12" s="1" t="s">
        <v>71</v>
      </c>
      <c r="C12" s="3">
        <v>13</v>
      </c>
    </row>
    <row r="13" spans="2:17" x14ac:dyDescent="0.25">
      <c r="B13" s="1" t="s">
        <v>72</v>
      </c>
      <c r="C13" s="3">
        <v>12</v>
      </c>
    </row>
    <row r="14" spans="2:17" x14ac:dyDescent="0.25">
      <c r="B14" s="1" t="s">
        <v>73</v>
      </c>
      <c r="C14" s="3">
        <v>10</v>
      </c>
    </row>
    <row r="15" spans="2:17" x14ac:dyDescent="0.25">
      <c r="B15" s="1" t="s">
        <v>74</v>
      </c>
      <c r="C15" s="3">
        <v>11</v>
      </c>
    </row>
    <row r="16" spans="2:17" x14ac:dyDescent="0.25">
      <c r="B16" s="1" t="s">
        <v>75</v>
      </c>
      <c r="C16" s="3">
        <v>12</v>
      </c>
    </row>
    <row r="17" spans="2:28" x14ac:dyDescent="0.25">
      <c r="B17" s="1" t="s">
        <v>76</v>
      </c>
      <c r="C17" s="3">
        <v>10</v>
      </c>
    </row>
    <row r="18" spans="2:28" x14ac:dyDescent="0.25">
      <c r="B18" s="1" t="s">
        <v>77</v>
      </c>
      <c r="C18" s="3">
        <v>12</v>
      </c>
    </row>
    <row r="19" spans="2:28" ht="15" customHeight="1" x14ac:dyDescent="0.25">
      <c r="B19" s="1" t="s">
        <v>78</v>
      </c>
      <c r="C19" s="3">
        <v>11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spans="2:28" ht="15" customHeight="1" x14ac:dyDescent="0.25">
      <c r="B20" s="1" t="s">
        <v>79</v>
      </c>
      <c r="C20" s="3">
        <v>11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2:28" x14ac:dyDescent="0.25">
      <c r="B21" s="1" t="s">
        <v>80</v>
      </c>
      <c r="C21" s="3">
        <v>13</v>
      </c>
    </row>
    <row r="22" spans="2:28" x14ac:dyDescent="0.25">
      <c r="B22" s="1" t="s">
        <v>81</v>
      </c>
      <c r="C22" s="3">
        <v>9</v>
      </c>
    </row>
    <row r="23" spans="2:28" x14ac:dyDescent="0.25">
      <c r="B23" s="1" t="s">
        <v>82</v>
      </c>
      <c r="C23" s="3">
        <v>8</v>
      </c>
    </row>
    <row r="24" spans="2:28" x14ac:dyDescent="0.25">
      <c r="B24" s="1" t="s">
        <v>83</v>
      </c>
      <c r="C24" s="3">
        <v>9</v>
      </c>
    </row>
    <row r="25" spans="2:28" ht="15.75" thickBot="1" x14ac:dyDescent="0.3">
      <c r="B25" s="1" t="s">
        <v>84</v>
      </c>
      <c r="C25" s="3">
        <v>11</v>
      </c>
    </row>
    <row r="26" spans="2:28" ht="36.75" customHeight="1" thickBot="1" x14ac:dyDescent="0.3">
      <c r="B26" s="1" t="s">
        <v>85</v>
      </c>
      <c r="C26" s="3">
        <v>11</v>
      </c>
      <c r="D26" s="55" t="s">
        <v>40</v>
      </c>
      <c r="E26" s="55" t="s">
        <v>139</v>
      </c>
      <c r="F26" s="55" t="s">
        <v>140</v>
      </c>
      <c r="G26" s="55" t="s">
        <v>141</v>
      </c>
      <c r="H26" s="55" t="s">
        <v>142</v>
      </c>
    </row>
    <row r="27" spans="2:28" ht="15" customHeight="1" thickBot="1" x14ac:dyDescent="0.3">
      <c r="B27" s="1" t="s">
        <v>86</v>
      </c>
      <c r="C27" s="3">
        <v>12</v>
      </c>
      <c r="D27" s="56" t="s">
        <v>47</v>
      </c>
      <c r="E27" s="56">
        <v>30</v>
      </c>
      <c r="F27" s="56">
        <v>30</v>
      </c>
      <c r="G27" s="57"/>
      <c r="H27" s="57"/>
    </row>
    <row r="28" spans="2:28" ht="15" customHeight="1" thickBot="1" x14ac:dyDescent="0.3">
      <c r="D28" s="56" t="s">
        <v>49</v>
      </c>
      <c r="E28" s="56">
        <v>30</v>
      </c>
      <c r="F28" s="56">
        <v>30</v>
      </c>
      <c r="G28" s="57"/>
      <c r="H28" s="57"/>
    </row>
    <row r="29" spans="2:28" ht="15" customHeight="1" thickBot="1" x14ac:dyDescent="0.3">
      <c r="D29" s="56" t="s">
        <v>45</v>
      </c>
      <c r="E29" s="56">
        <v>30</v>
      </c>
      <c r="F29" s="56">
        <v>29</v>
      </c>
      <c r="G29" s="57"/>
      <c r="H29" s="58" t="s">
        <v>18</v>
      </c>
    </row>
    <row r="30" spans="2:28" ht="15" customHeight="1" thickBot="1" x14ac:dyDescent="0.3">
      <c r="D30" s="56" t="s">
        <v>41</v>
      </c>
      <c r="E30" s="56">
        <v>30</v>
      </c>
      <c r="F30" s="56">
        <v>30</v>
      </c>
      <c r="G30" s="57"/>
      <c r="H30" s="57"/>
    </row>
    <row r="31" spans="2:28" ht="15" customHeight="1" thickBot="1" x14ac:dyDescent="0.3">
      <c r="D31" s="56" t="s">
        <v>50</v>
      </c>
      <c r="E31" s="56">
        <v>30</v>
      </c>
      <c r="F31" s="56">
        <v>30</v>
      </c>
      <c r="G31" s="57"/>
      <c r="H31" s="57"/>
    </row>
    <row r="32" spans="2:28" ht="15" customHeight="1" thickBot="1" x14ac:dyDescent="0.3">
      <c r="D32" s="56" t="s">
        <v>44</v>
      </c>
      <c r="E32" s="56">
        <v>30</v>
      </c>
      <c r="F32" s="56">
        <v>30</v>
      </c>
      <c r="G32" s="57"/>
      <c r="H32" s="57"/>
    </row>
    <row r="33" spans="2:21" ht="15" customHeight="1" thickBot="1" x14ac:dyDescent="0.3">
      <c r="D33" s="56" t="s">
        <v>53</v>
      </c>
      <c r="E33" s="56">
        <v>29</v>
      </c>
      <c r="F33" s="56">
        <v>29</v>
      </c>
      <c r="G33" s="56" t="s">
        <v>18</v>
      </c>
      <c r="H33" s="56" t="s">
        <v>18</v>
      </c>
    </row>
    <row r="34" spans="2:21" ht="15" customHeight="1" thickBot="1" x14ac:dyDescent="0.3">
      <c r="D34" s="56" t="s">
        <v>46</v>
      </c>
      <c r="E34" s="56">
        <v>29</v>
      </c>
      <c r="F34" s="56">
        <v>27</v>
      </c>
      <c r="G34" s="56" t="s">
        <v>143</v>
      </c>
      <c r="H34" s="56" t="s">
        <v>151</v>
      </c>
    </row>
    <row r="35" spans="2:21" ht="15" customHeight="1" thickBot="1" x14ac:dyDescent="0.3">
      <c r="D35" s="56" t="s">
        <v>43</v>
      </c>
      <c r="E35" s="56">
        <v>29</v>
      </c>
      <c r="F35" s="56">
        <v>28</v>
      </c>
      <c r="G35" s="56" t="s">
        <v>21</v>
      </c>
      <c r="H35" s="56" t="s">
        <v>152</v>
      </c>
    </row>
    <row r="36" spans="2:21" ht="15" customHeight="1" thickBot="1" x14ac:dyDescent="0.3">
      <c r="D36" s="56" t="s">
        <v>52</v>
      </c>
      <c r="E36" s="56">
        <v>29</v>
      </c>
      <c r="F36" s="56">
        <v>29</v>
      </c>
      <c r="G36" s="56" t="s">
        <v>10</v>
      </c>
      <c r="H36" s="56" t="s">
        <v>10</v>
      </c>
    </row>
    <row r="37" spans="2:21" ht="15" customHeight="1" thickBot="1" x14ac:dyDescent="0.3">
      <c r="D37" s="56" t="s">
        <v>48</v>
      </c>
      <c r="E37" s="56">
        <v>28</v>
      </c>
      <c r="F37" s="56">
        <v>28</v>
      </c>
      <c r="G37" s="56" t="s">
        <v>144</v>
      </c>
      <c r="H37" s="56" t="s">
        <v>144</v>
      </c>
    </row>
    <row r="38" spans="2:21" ht="15" customHeight="1" thickBot="1" x14ac:dyDescent="0.3">
      <c r="D38" s="56" t="s">
        <v>51</v>
      </c>
      <c r="E38" s="56">
        <v>25</v>
      </c>
      <c r="F38" s="56">
        <v>25</v>
      </c>
      <c r="G38" s="56" t="s">
        <v>145</v>
      </c>
      <c r="H38" s="56" t="s">
        <v>145</v>
      </c>
    </row>
    <row r="39" spans="2:21" ht="15" customHeight="1" thickBot="1" x14ac:dyDescent="0.3">
      <c r="D39" s="56" t="s">
        <v>42</v>
      </c>
      <c r="E39" s="56">
        <v>25</v>
      </c>
      <c r="F39" s="56">
        <v>25</v>
      </c>
      <c r="G39" s="56" t="s">
        <v>146</v>
      </c>
      <c r="H39" s="56" t="s">
        <v>146</v>
      </c>
    </row>
    <row r="40" spans="2:21" ht="15" customHeight="1" thickBot="1" x14ac:dyDescent="0.3">
      <c r="D40" s="56" t="s">
        <v>56</v>
      </c>
      <c r="E40" s="56">
        <v>20</v>
      </c>
      <c r="F40" s="56">
        <v>20</v>
      </c>
      <c r="G40" s="56" t="s">
        <v>147</v>
      </c>
      <c r="H40" s="58" t="s">
        <v>153</v>
      </c>
    </row>
    <row r="41" spans="2:21" ht="15" customHeight="1" thickBot="1" x14ac:dyDescent="0.3">
      <c r="D41" s="56" t="s">
        <v>54</v>
      </c>
      <c r="E41" s="56">
        <v>14</v>
      </c>
      <c r="F41" s="56">
        <v>12</v>
      </c>
      <c r="G41" s="56" t="s">
        <v>148</v>
      </c>
      <c r="H41" s="56" t="s">
        <v>154</v>
      </c>
    </row>
    <row r="42" spans="2:21" ht="15" customHeight="1" thickBot="1" x14ac:dyDescent="0.3">
      <c r="D42" s="56" t="s">
        <v>55</v>
      </c>
      <c r="E42" s="56">
        <v>8</v>
      </c>
      <c r="F42" s="56">
        <v>8</v>
      </c>
      <c r="G42" s="56" t="s">
        <v>149</v>
      </c>
      <c r="H42" s="56" t="s">
        <v>150</v>
      </c>
    </row>
    <row r="43" spans="2:21" ht="15" customHeight="1" x14ac:dyDescent="0.25"/>
    <row r="45" spans="2:21" ht="31.5" x14ac:dyDescent="0.25">
      <c r="B45" s="87" t="s">
        <v>212</v>
      </c>
      <c r="C45" s="87"/>
      <c r="D45" s="18" t="s">
        <v>213</v>
      </c>
      <c r="E45" s="18" t="s">
        <v>214</v>
      </c>
      <c r="F45" s="18" t="s">
        <v>215</v>
      </c>
      <c r="G45" s="18" t="s">
        <v>216</v>
      </c>
      <c r="H45" s="18" t="s">
        <v>1</v>
      </c>
      <c r="I45" s="18" t="s">
        <v>2</v>
      </c>
      <c r="J45" s="18" t="s">
        <v>3</v>
      </c>
      <c r="K45" s="18" t="s">
        <v>4</v>
      </c>
      <c r="L45" s="18" t="s">
        <v>5</v>
      </c>
      <c r="M45" s="18" t="s">
        <v>99</v>
      </c>
      <c r="N45" s="18" t="s">
        <v>100</v>
      </c>
      <c r="O45" s="18" t="s">
        <v>6</v>
      </c>
      <c r="P45" s="18" t="s">
        <v>7</v>
      </c>
      <c r="Q45" s="18" t="s">
        <v>208</v>
      </c>
      <c r="R45" s="18" t="s">
        <v>8</v>
      </c>
      <c r="S45" s="18" t="s">
        <v>9</v>
      </c>
      <c r="T45" s="18" t="s">
        <v>247</v>
      </c>
      <c r="U45" s="18" t="s">
        <v>248</v>
      </c>
    </row>
    <row r="46" spans="2:21" ht="15" customHeight="1" x14ac:dyDescent="0.25">
      <c r="B46" s="85" t="s">
        <v>217</v>
      </c>
      <c r="C46" s="85"/>
      <c r="D46" s="75" t="s">
        <v>218</v>
      </c>
      <c r="E46" s="75">
        <v>29</v>
      </c>
      <c r="F46" s="75">
        <v>2583</v>
      </c>
      <c r="G46" s="75">
        <v>89.07</v>
      </c>
      <c r="H46" s="75">
        <v>9.94</v>
      </c>
      <c r="I46" s="75">
        <v>824.44</v>
      </c>
      <c r="J46" s="75">
        <v>62.65</v>
      </c>
      <c r="K46" s="75">
        <v>1236.19</v>
      </c>
      <c r="L46" s="75">
        <v>2.2200000000000002</v>
      </c>
      <c r="M46" s="75">
        <v>533.16999999999996</v>
      </c>
      <c r="N46" s="75">
        <v>516.42999999999995</v>
      </c>
      <c r="O46" s="75">
        <v>438.48</v>
      </c>
      <c r="P46" s="75">
        <v>30.31</v>
      </c>
      <c r="Q46" s="75">
        <v>102.09</v>
      </c>
      <c r="R46" s="75">
        <v>16.61</v>
      </c>
      <c r="S46" s="75">
        <v>88.4</v>
      </c>
      <c r="T46" s="75">
        <v>5.48</v>
      </c>
      <c r="U46" s="75">
        <v>5.31</v>
      </c>
    </row>
    <row r="47" spans="2:21" ht="15" customHeight="1" x14ac:dyDescent="0.25">
      <c r="B47" s="85" t="s">
        <v>219</v>
      </c>
      <c r="C47" s="85"/>
      <c r="D47" s="75" t="s">
        <v>220</v>
      </c>
      <c r="E47" s="75">
        <v>28</v>
      </c>
      <c r="F47" s="75">
        <v>2480</v>
      </c>
      <c r="G47" s="75">
        <v>88.57</v>
      </c>
      <c r="H47" s="75">
        <v>9.67</v>
      </c>
      <c r="I47" s="75">
        <v>743.23</v>
      </c>
      <c r="J47" s="75">
        <v>56.65</v>
      </c>
      <c r="K47" s="75">
        <v>1163.56</v>
      </c>
      <c r="L47" s="75">
        <v>3.35</v>
      </c>
      <c r="M47" s="75">
        <v>501.83</v>
      </c>
      <c r="N47" s="75">
        <v>483.61</v>
      </c>
      <c r="O47" s="75">
        <v>466.35</v>
      </c>
      <c r="P47" s="75">
        <v>30.42</v>
      </c>
      <c r="Q47" s="75">
        <v>97.81</v>
      </c>
      <c r="R47" s="75">
        <v>15.58</v>
      </c>
      <c r="S47" s="75">
        <v>85.1</v>
      </c>
      <c r="T47" s="75">
        <v>5.08</v>
      </c>
      <c r="U47" s="75">
        <v>4.8899999999999997</v>
      </c>
    </row>
    <row r="48" spans="2:21" ht="15" customHeight="1" x14ac:dyDescent="0.25">
      <c r="B48" s="85" t="s">
        <v>221</v>
      </c>
      <c r="C48" s="85"/>
      <c r="D48" s="75" t="s">
        <v>222</v>
      </c>
      <c r="E48" s="75">
        <v>28</v>
      </c>
      <c r="F48" s="75">
        <v>2443</v>
      </c>
      <c r="G48" s="75">
        <v>87.25</v>
      </c>
      <c r="H48" s="75">
        <v>10.68</v>
      </c>
      <c r="I48" s="75">
        <v>1571.16</v>
      </c>
      <c r="J48" s="75">
        <v>96.18</v>
      </c>
      <c r="K48" s="75">
        <v>1357.33</v>
      </c>
      <c r="L48" s="75">
        <v>5.82</v>
      </c>
      <c r="M48" s="75">
        <v>519.23</v>
      </c>
      <c r="N48" s="75">
        <v>505.32</v>
      </c>
      <c r="O48" s="75">
        <v>436.21</v>
      </c>
      <c r="P48" s="75">
        <v>32.31</v>
      </c>
      <c r="Q48" s="75">
        <v>107.9</v>
      </c>
      <c r="R48" s="75">
        <v>18.149999999999999</v>
      </c>
      <c r="S48" s="75">
        <v>91.75</v>
      </c>
      <c r="T48" s="75">
        <v>5.24</v>
      </c>
      <c r="U48" s="75">
        <v>5.0999999999999996</v>
      </c>
    </row>
    <row r="49" spans="2:21" ht="15" customHeight="1" x14ac:dyDescent="0.25">
      <c r="B49" s="85" t="s">
        <v>223</v>
      </c>
      <c r="C49" s="85"/>
      <c r="D49" s="75" t="s">
        <v>224</v>
      </c>
      <c r="E49" s="75">
        <v>27</v>
      </c>
      <c r="F49" s="75">
        <v>2430</v>
      </c>
      <c r="G49" s="75">
        <v>90</v>
      </c>
      <c r="H49" s="75">
        <v>9.4600000000000009</v>
      </c>
      <c r="I49" s="75">
        <v>599.58000000000004</v>
      </c>
      <c r="J49" s="75">
        <v>51.19</v>
      </c>
      <c r="K49" s="75">
        <v>1137</v>
      </c>
      <c r="L49" s="75">
        <v>4.8099999999999996</v>
      </c>
      <c r="M49" s="75">
        <v>477.23</v>
      </c>
      <c r="N49" s="75">
        <v>458.73</v>
      </c>
      <c r="O49" s="75">
        <v>396.46</v>
      </c>
      <c r="P49" s="75">
        <v>28.35</v>
      </c>
      <c r="Q49" s="75">
        <v>96.39</v>
      </c>
      <c r="R49" s="75">
        <v>15.35</v>
      </c>
      <c r="S49" s="75">
        <v>83.74</v>
      </c>
      <c r="T49" s="75">
        <v>4.8600000000000003</v>
      </c>
      <c r="U49" s="75">
        <v>4.67</v>
      </c>
    </row>
    <row r="50" spans="2:21" ht="15" customHeight="1" x14ac:dyDescent="0.25">
      <c r="B50" s="85" t="s">
        <v>225</v>
      </c>
      <c r="C50" s="85"/>
      <c r="D50" s="75" t="s">
        <v>226</v>
      </c>
      <c r="E50" s="75">
        <v>28</v>
      </c>
      <c r="F50" s="75">
        <v>2431</v>
      </c>
      <c r="G50" s="75">
        <v>86.82</v>
      </c>
      <c r="H50" s="75">
        <v>9.35</v>
      </c>
      <c r="I50" s="75">
        <v>827.17</v>
      </c>
      <c r="J50" s="75">
        <v>60.46</v>
      </c>
      <c r="K50" s="75">
        <v>1144.04</v>
      </c>
      <c r="L50" s="75">
        <v>3.38</v>
      </c>
      <c r="M50" s="75">
        <v>467.88</v>
      </c>
      <c r="N50" s="75">
        <v>451.23</v>
      </c>
      <c r="O50" s="75">
        <v>381.33</v>
      </c>
      <c r="P50" s="75">
        <v>31.62</v>
      </c>
      <c r="Q50" s="75">
        <v>92.75</v>
      </c>
      <c r="R50" s="75">
        <v>15.09</v>
      </c>
      <c r="S50" s="75">
        <v>76.42</v>
      </c>
      <c r="T50" s="75">
        <v>4.6399999999999997</v>
      </c>
      <c r="U50" s="75">
        <v>4.4800000000000004</v>
      </c>
    </row>
    <row r="51" spans="2:21" ht="15" customHeight="1" x14ac:dyDescent="0.25">
      <c r="B51" s="85" t="s">
        <v>227</v>
      </c>
      <c r="C51" s="85"/>
      <c r="D51" s="75" t="s">
        <v>228</v>
      </c>
      <c r="E51" s="75">
        <v>27</v>
      </c>
      <c r="F51" s="75">
        <v>2342</v>
      </c>
      <c r="G51" s="75">
        <v>86.74</v>
      </c>
      <c r="H51" s="75">
        <v>8.86</v>
      </c>
      <c r="I51" s="75">
        <v>638.16999999999996</v>
      </c>
      <c r="J51" s="75">
        <v>48.12</v>
      </c>
      <c r="K51" s="75">
        <v>1057.75</v>
      </c>
      <c r="L51" s="75">
        <v>3.88</v>
      </c>
      <c r="M51" s="75">
        <v>409.35</v>
      </c>
      <c r="N51" s="75">
        <v>383.69</v>
      </c>
      <c r="O51" s="75">
        <v>405.69</v>
      </c>
      <c r="P51" s="75">
        <v>29.88</v>
      </c>
      <c r="Q51" s="75">
        <v>89.63</v>
      </c>
      <c r="R51" s="75">
        <v>14.22</v>
      </c>
      <c r="S51" s="75">
        <v>74.17</v>
      </c>
      <c r="T51" s="75">
        <v>4.1399999999999997</v>
      </c>
      <c r="U51" s="75">
        <v>3.88</v>
      </c>
    </row>
    <row r="52" spans="2:21" ht="15" customHeight="1" x14ac:dyDescent="0.25">
      <c r="B52" s="85" t="s">
        <v>229</v>
      </c>
      <c r="C52" s="85"/>
      <c r="D52" s="75" t="s">
        <v>230</v>
      </c>
      <c r="E52" s="75">
        <v>28</v>
      </c>
      <c r="F52" s="75">
        <v>2347</v>
      </c>
      <c r="G52" s="75">
        <v>83.82</v>
      </c>
      <c r="H52" s="75">
        <v>9.16</v>
      </c>
      <c r="I52" s="75">
        <v>1046.04</v>
      </c>
      <c r="J52" s="75">
        <v>67.73</v>
      </c>
      <c r="K52" s="75">
        <v>1121.74</v>
      </c>
      <c r="L52" s="75">
        <v>4.88</v>
      </c>
      <c r="M52" s="75">
        <v>437</v>
      </c>
      <c r="N52" s="75">
        <v>411.92</v>
      </c>
      <c r="O52" s="75">
        <v>412.6</v>
      </c>
      <c r="P52" s="75">
        <v>31.21</v>
      </c>
      <c r="Q52" s="75">
        <v>99.74</v>
      </c>
      <c r="R52" s="75">
        <v>16.149999999999999</v>
      </c>
      <c r="S52" s="75">
        <v>83.59</v>
      </c>
      <c r="T52" s="75">
        <v>4.76</v>
      </c>
      <c r="U52" s="75">
        <v>4.4800000000000004</v>
      </c>
    </row>
    <row r="53" spans="2:21" ht="15" customHeight="1" x14ac:dyDescent="0.25">
      <c r="B53" s="86" t="s">
        <v>231</v>
      </c>
      <c r="C53" s="86"/>
      <c r="D53" s="75" t="s">
        <v>226</v>
      </c>
      <c r="E53" s="75">
        <v>26</v>
      </c>
      <c r="F53" s="75">
        <v>2411</v>
      </c>
      <c r="G53" s="75">
        <v>88.27</v>
      </c>
      <c r="H53" s="75">
        <v>9.11</v>
      </c>
      <c r="I53" s="75">
        <v>705.76</v>
      </c>
      <c r="J53" s="75">
        <v>53.92</v>
      </c>
      <c r="K53" s="75">
        <v>1092.5999999999999</v>
      </c>
      <c r="L53" s="75">
        <v>11.76</v>
      </c>
      <c r="M53" s="75">
        <v>429.08</v>
      </c>
      <c r="N53" s="75">
        <v>419.68</v>
      </c>
      <c r="O53" s="75">
        <v>449</v>
      </c>
      <c r="P53" s="75">
        <v>30.83</v>
      </c>
      <c r="Q53" s="75">
        <v>90.28</v>
      </c>
      <c r="R53" s="75">
        <v>14.38</v>
      </c>
      <c r="S53" s="75">
        <v>71.63</v>
      </c>
      <c r="T53" s="75">
        <v>4.26</v>
      </c>
      <c r="U53" s="75">
        <v>4.16</v>
      </c>
    </row>
    <row r="54" spans="2:21" ht="15" customHeight="1" x14ac:dyDescent="0.25">
      <c r="B54" s="85" t="s">
        <v>232</v>
      </c>
      <c r="C54" s="85"/>
      <c r="D54" s="75" t="s">
        <v>233</v>
      </c>
      <c r="E54" s="75">
        <v>28</v>
      </c>
      <c r="F54" s="75">
        <v>2484</v>
      </c>
      <c r="G54" s="75">
        <v>88.71</v>
      </c>
      <c r="H54" s="75">
        <v>10.86</v>
      </c>
      <c r="I54" s="75">
        <v>1091.79</v>
      </c>
      <c r="J54" s="75">
        <v>79.58</v>
      </c>
      <c r="K54" s="75">
        <v>1319.91</v>
      </c>
      <c r="L54" s="75">
        <v>3.67</v>
      </c>
      <c r="M54" s="75">
        <v>497.21</v>
      </c>
      <c r="N54" s="75">
        <v>485.62</v>
      </c>
      <c r="O54" s="75">
        <v>456.51</v>
      </c>
      <c r="P54" s="75">
        <v>29.13</v>
      </c>
      <c r="Q54" s="75">
        <v>110.84</v>
      </c>
      <c r="R54" s="75">
        <v>17.87</v>
      </c>
      <c r="S54" s="75">
        <v>95.7</v>
      </c>
      <c r="T54" s="75">
        <v>5.07</v>
      </c>
      <c r="U54" s="75">
        <v>4.95</v>
      </c>
    </row>
    <row r="55" spans="2:21" ht="15" customHeight="1" x14ac:dyDescent="0.25">
      <c r="B55" s="85" t="s">
        <v>234</v>
      </c>
      <c r="C55" s="85"/>
      <c r="D55" s="75" t="s">
        <v>224</v>
      </c>
      <c r="E55" s="75">
        <v>27</v>
      </c>
      <c r="F55" s="75">
        <v>2566</v>
      </c>
      <c r="G55" s="75">
        <v>90</v>
      </c>
      <c r="H55" s="75">
        <v>10.98</v>
      </c>
      <c r="I55" s="75">
        <v>1006.62</v>
      </c>
      <c r="J55" s="75">
        <v>81.69</v>
      </c>
      <c r="K55" s="75">
        <v>1331.1</v>
      </c>
      <c r="L55" s="75">
        <v>11.04</v>
      </c>
      <c r="M55" s="75">
        <v>519.38</v>
      </c>
      <c r="N55" s="75">
        <v>503.23</v>
      </c>
      <c r="O55" s="75">
        <v>496.31</v>
      </c>
      <c r="P55" s="75">
        <v>28.69</v>
      </c>
      <c r="Q55" s="75">
        <v>111.45</v>
      </c>
      <c r="R55" s="75">
        <v>17.93</v>
      </c>
      <c r="S55" s="75">
        <v>93.66</v>
      </c>
      <c r="T55" s="75">
        <v>5.27</v>
      </c>
      <c r="U55" s="75">
        <v>5.1100000000000003</v>
      </c>
    </row>
    <row r="56" spans="2:21" ht="15" customHeight="1" x14ac:dyDescent="0.25">
      <c r="B56" s="85" t="s">
        <v>235</v>
      </c>
      <c r="C56" s="85"/>
      <c r="D56" s="75" t="s">
        <v>236</v>
      </c>
      <c r="E56" s="75">
        <v>28</v>
      </c>
      <c r="F56" s="75">
        <v>2401</v>
      </c>
      <c r="G56" s="75">
        <v>85.75</v>
      </c>
      <c r="H56" s="75">
        <v>10.27</v>
      </c>
      <c r="I56" s="75">
        <v>771.4</v>
      </c>
      <c r="J56" s="75">
        <v>68</v>
      </c>
      <c r="K56" s="75">
        <v>1243.04</v>
      </c>
      <c r="L56" s="75">
        <v>4.43</v>
      </c>
      <c r="M56" s="75">
        <v>519.42999999999995</v>
      </c>
      <c r="N56" s="75">
        <v>498.43</v>
      </c>
      <c r="O56" s="75">
        <v>469.91</v>
      </c>
      <c r="P56" s="75">
        <v>27.96</v>
      </c>
      <c r="Q56" s="75">
        <v>102.96</v>
      </c>
      <c r="R56" s="75">
        <v>16.62</v>
      </c>
      <c r="S56" s="75">
        <v>90.33</v>
      </c>
      <c r="T56" s="75">
        <v>5.21</v>
      </c>
      <c r="U56" s="75">
        <v>5</v>
      </c>
    </row>
    <row r="57" spans="2:21" ht="15" customHeight="1" x14ac:dyDescent="0.25">
      <c r="B57" s="86" t="s">
        <v>237</v>
      </c>
      <c r="C57" s="86"/>
      <c r="D57" s="75" t="s">
        <v>226</v>
      </c>
      <c r="E57" s="75">
        <v>28</v>
      </c>
      <c r="F57" s="75">
        <v>2427</v>
      </c>
      <c r="G57" s="75">
        <v>86.68</v>
      </c>
      <c r="H57" s="75">
        <v>10.61</v>
      </c>
      <c r="I57" s="75">
        <v>1222.1500000000001</v>
      </c>
      <c r="J57" s="75">
        <v>90.23</v>
      </c>
      <c r="K57" s="75">
        <v>1308.04</v>
      </c>
      <c r="L57" s="75">
        <v>14.46</v>
      </c>
      <c r="M57" s="75">
        <v>507.08</v>
      </c>
      <c r="N57" s="75">
        <v>486.88</v>
      </c>
      <c r="O57" s="75">
        <v>515.57000000000005</v>
      </c>
      <c r="P57" s="75">
        <v>29.55</v>
      </c>
      <c r="Q57" s="75">
        <v>105.8</v>
      </c>
      <c r="R57" s="75">
        <v>17.329999999999998</v>
      </c>
      <c r="S57" s="75">
        <v>90.28</v>
      </c>
      <c r="T57" s="75">
        <v>5.0599999999999996</v>
      </c>
      <c r="U57" s="75">
        <v>4.8600000000000003</v>
      </c>
    </row>
    <row r="58" spans="2:21" ht="15" customHeight="1" x14ac:dyDescent="0.25">
      <c r="B58" s="85" t="s">
        <v>238</v>
      </c>
      <c r="C58" s="85"/>
      <c r="D58" s="74" t="s">
        <v>239</v>
      </c>
      <c r="E58" s="75">
        <v>29</v>
      </c>
      <c r="F58" s="75">
        <v>2408</v>
      </c>
      <c r="G58" s="75">
        <v>83.03</v>
      </c>
      <c r="H58" s="75">
        <v>10.58</v>
      </c>
      <c r="I58" s="75">
        <v>1172.76</v>
      </c>
      <c r="J58" s="75">
        <v>78.47</v>
      </c>
      <c r="K58" s="75">
        <v>1274.5</v>
      </c>
      <c r="L58" s="75">
        <v>6.84</v>
      </c>
      <c r="M58" s="75">
        <v>454.11</v>
      </c>
      <c r="N58" s="75">
        <v>439.42</v>
      </c>
      <c r="O58" s="75">
        <v>475.59</v>
      </c>
      <c r="P58" s="75">
        <v>30.46</v>
      </c>
      <c r="Q58" s="75">
        <v>106.49</v>
      </c>
      <c r="R58" s="75">
        <v>17</v>
      </c>
      <c r="S58" s="75">
        <v>95.07</v>
      </c>
      <c r="T58" s="75">
        <v>4.57</v>
      </c>
      <c r="U58" s="75">
        <v>4.42</v>
      </c>
    </row>
    <row r="59" spans="2:21" ht="15" customHeight="1" x14ac:dyDescent="0.25">
      <c r="B59" s="85" t="s">
        <v>240</v>
      </c>
      <c r="C59" s="85"/>
      <c r="D59" s="75" t="s">
        <v>241</v>
      </c>
      <c r="E59" s="75">
        <v>27</v>
      </c>
      <c r="F59" s="75">
        <v>2356</v>
      </c>
      <c r="G59" s="75">
        <v>87.26</v>
      </c>
      <c r="H59" s="75">
        <v>10.64</v>
      </c>
      <c r="I59" s="75">
        <v>1388.73</v>
      </c>
      <c r="J59" s="75">
        <v>87.18</v>
      </c>
      <c r="K59" s="75">
        <v>1317.5</v>
      </c>
      <c r="L59" s="75">
        <v>9.4700000000000006</v>
      </c>
      <c r="M59" s="75">
        <v>493.53</v>
      </c>
      <c r="N59" s="75">
        <v>480.18</v>
      </c>
      <c r="O59" s="75">
        <v>480.67</v>
      </c>
      <c r="P59" s="75">
        <v>31.96</v>
      </c>
      <c r="Q59" s="75">
        <v>106.98</v>
      </c>
      <c r="R59" s="75">
        <v>17.59</v>
      </c>
      <c r="S59" s="75">
        <v>94.33</v>
      </c>
      <c r="T59" s="75">
        <v>4.97</v>
      </c>
      <c r="U59" s="75">
        <v>4.83</v>
      </c>
    </row>
    <row r="60" spans="2:21" ht="15" customHeight="1" x14ac:dyDescent="0.25">
      <c r="B60" s="85" t="s">
        <v>242</v>
      </c>
      <c r="C60" s="85"/>
      <c r="D60" s="74" t="s">
        <v>243</v>
      </c>
      <c r="E60" s="75">
        <v>29</v>
      </c>
      <c r="F60" s="75">
        <v>2719</v>
      </c>
      <c r="G60" s="75">
        <v>89.07</v>
      </c>
      <c r="H60" s="75">
        <v>8.0299999999999994</v>
      </c>
      <c r="I60" s="75">
        <v>678.82</v>
      </c>
      <c r="J60" s="75">
        <v>47.88</v>
      </c>
      <c r="K60" s="75">
        <v>932.93</v>
      </c>
      <c r="L60" s="75">
        <v>4.8499999999999996</v>
      </c>
      <c r="M60" s="75">
        <v>252.62</v>
      </c>
      <c r="N60" s="75">
        <v>244.12</v>
      </c>
      <c r="O60" s="75">
        <v>335.93</v>
      </c>
      <c r="P60" s="75">
        <v>30.66</v>
      </c>
      <c r="Q60" s="75">
        <v>80.959999999999994</v>
      </c>
      <c r="R60" s="75">
        <v>12.47</v>
      </c>
      <c r="S60" s="75">
        <v>51.98</v>
      </c>
      <c r="T60" s="75">
        <v>2.5499999999999998</v>
      </c>
      <c r="U60" s="75">
        <v>2.4700000000000002</v>
      </c>
    </row>
    <row r="61" spans="2:21" ht="15" customHeight="1" x14ac:dyDescent="0.25">
      <c r="B61" s="85" t="s">
        <v>244</v>
      </c>
      <c r="C61" s="85"/>
      <c r="D61" s="75" t="s">
        <v>245</v>
      </c>
      <c r="E61" s="75">
        <v>29</v>
      </c>
      <c r="F61" s="75">
        <v>2488</v>
      </c>
      <c r="G61" s="75">
        <v>85.79</v>
      </c>
      <c r="H61" s="75">
        <v>8.94</v>
      </c>
      <c r="I61" s="75">
        <v>1089.3599999999999</v>
      </c>
      <c r="J61" s="75">
        <v>73.69</v>
      </c>
      <c r="K61" s="75">
        <v>1100.71</v>
      </c>
      <c r="L61" s="75">
        <v>8.3800000000000008</v>
      </c>
      <c r="M61" s="75">
        <v>395.77</v>
      </c>
      <c r="N61" s="75">
        <v>380.88</v>
      </c>
      <c r="O61" s="75">
        <v>383.93</v>
      </c>
      <c r="P61" s="75">
        <v>30.86</v>
      </c>
      <c r="Q61" s="75">
        <v>90.69</v>
      </c>
      <c r="R61" s="75">
        <v>14.8</v>
      </c>
      <c r="S61" s="75">
        <v>74.760000000000005</v>
      </c>
      <c r="T61" s="75">
        <v>4.0199999999999996</v>
      </c>
      <c r="U61" s="75">
        <v>3.87</v>
      </c>
    </row>
    <row r="62" spans="2:21" ht="15" customHeight="1" x14ac:dyDescent="0.25">
      <c r="B62" s="85" t="s">
        <v>246</v>
      </c>
      <c r="C62" s="85"/>
      <c r="D62" s="75" t="s">
        <v>226</v>
      </c>
      <c r="E62" s="75">
        <v>30</v>
      </c>
      <c r="F62" s="75">
        <v>2482</v>
      </c>
      <c r="G62" s="75">
        <v>82.73</v>
      </c>
      <c r="H62" s="75">
        <v>9.27</v>
      </c>
      <c r="I62" s="75">
        <v>805.45</v>
      </c>
      <c r="J62" s="75">
        <v>58.48</v>
      </c>
      <c r="K62" s="75">
        <v>1105.42</v>
      </c>
      <c r="L62" s="75">
        <v>7.36</v>
      </c>
      <c r="M62" s="75">
        <v>402.24</v>
      </c>
      <c r="N62" s="75">
        <v>381.44</v>
      </c>
      <c r="O62" s="75">
        <v>428.69</v>
      </c>
      <c r="P62" s="75">
        <v>30.25</v>
      </c>
      <c r="Q62" s="75">
        <v>92.85</v>
      </c>
      <c r="R62" s="75">
        <v>14.71</v>
      </c>
      <c r="S62" s="75">
        <v>72.52</v>
      </c>
      <c r="T62" s="75">
        <v>4.03</v>
      </c>
      <c r="U62" s="75">
        <v>3.82</v>
      </c>
    </row>
    <row r="65" spans="2:19" ht="15.75" thickBot="1" x14ac:dyDescent="0.3"/>
    <row r="66" spans="2:19" ht="33.75" thickBot="1" x14ac:dyDescent="0.3">
      <c r="B66" s="90"/>
      <c r="C66" s="92" t="s">
        <v>249</v>
      </c>
      <c r="D66" s="88" t="s">
        <v>250</v>
      </c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</row>
    <row r="67" spans="2:19" ht="50.25" thickBot="1" x14ac:dyDescent="0.3">
      <c r="B67" s="94"/>
      <c r="C67" s="93" t="s">
        <v>132</v>
      </c>
      <c r="D67" s="89">
        <v>280.69</v>
      </c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</row>
    <row r="68" spans="2:19" ht="17.25" thickBot="1" x14ac:dyDescent="0.3">
      <c r="B68" s="94"/>
      <c r="C68" s="93" t="s">
        <v>129</v>
      </c>
      <c r="D68" s="89">
        <v>263.70999999999998</v>
      </c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</row>
    <row r="69" spans="2:19" ht="17.25" thickBot="1" x14ac:dyDescent="0.3">
      <c r="B69" s="94"/>
      <c r="C69" s="93" t="s">
        <v>126</v>
      </c>
      <c r="D69" s="89">
        <v>257.69</v>
      </c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</row>
    <row r="70" spans="2:19" ht="17.25" thickBot="1" x14ac:dyDescent="0.3">
      <c r="B70" s="94"/>
      <c r="C70" s="93" t="s">
        <v>128</v>
      </c>
      <c r="D70" s="89">
        <v>254.25</v>
      </c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</row>
    <row r="71" spans="2:19" ht="17.25" thickBot="1" x14ac:dyDescent="0.3">
      <c r="B71" s="94"/>
      <c r="C71" s="93" t="s">
        <v>120</v>
      </c>
      <c r="D71" s="89">
        <v>252.51</v>
      </c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</row>
    <row r="72" spans="2:19" ht="33.75" thickBot="1" x14ac:dyDescent="0.3">
      <c r="B72" s="94"/>
      <c r="C72" s="93" t="s">
        <v>122</v>
      </c>
      <c r="D72" s="89">
        <v>250.84</v>
      </c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</row>
    <row r="73" spans="2:19" ht="17.25" thickBot="1" x14ac:dyDescent="0.3">
      <c r="B73" s="94"/>
      <c r="C73" s="93" t="s">
        <v>131</v>
      </c>
      <c r="D73" s="89">
        <v>232.55</v>
      </c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</row>
    <row r="74" spans="2:19" ht="17.25" thickBot="1" x14ac:dyDescent="0.3">
      <c r="B74" s="94"/>
      <c r="C74" s="93" t="s">
        <v>127</v>
      </c>
      <c r="D74" s="89">
        <v>231.95</v>
      </c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</row>
    <row r="75" spans="2:19" ht="17.25" thickBot="1" x14ac:dyDescent="0.3">
      <c r="B75" s="94"/>
      <c r="C75" s="93" t="s">
        <v>124</v>
      </c>
      <c r="D75" s="89">
        <v>231.34</v>
      </c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</row>
    <row r="76" spans="2:19" ht="17.25" thickBot="1" x14ac:dyDescent="0.3">
      <c r="B76" s="94"/>
      <c r="C76" s="93" t="s">
        <v>123</v>
      </c>
      <c r="D76" s="89">
        <v>229.91</v>
      </c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</row>
    <row r="77" spans="2:19" ht="33.75" thickBot="1" x14ac:dyDescent="0.3">
      <c r="B77" s="94"/>
      <c r="C77" s="93" t="s">
        <v>118</v>
      </c>
      <c r="D77" s="89">
        <v>224.68</v>
      </c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</row>
    <row r="78" spans="2:19" ht="17.25" thickBot="1" x14ac:dyDescent="0.3">
      <c r="B78" s="94"/>
      <c r="C78" s="93" t="s">
        <v>119</v>
      </c>
      <c r="D78" s="89">
        <v>213.62</v>
      </c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</row>
    <row r="79" spans="2:19" ht="33.75" thickBot="1" x14ac:dyDescent="0.3">
      <c r="B79" s="94"/>
      <c r="C79" s="93" t="s">
        <v>121</v>
      </c>
      <c r="D79" s="89">
        <v>209.12</v>
      </c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</row>
    <row r="80" spans="2:19" ht="17.25" thickBot="1" x14ac:dyDescent="0.3">
      <c r="B80" s="94"/>
      <c r="C80" s="93" t="s">
        <v>133</v>
      </c>
      <c r="D80" s="89">
        <v>202.84</v>
      </c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</row>
    <row r="81" spans="2:19" ht="33.75" thickBot="1" x14ac:dyDescent="0.3">
      <c r="B81" s="94"/>
      <c r="C81" s="93" t="s">
        <v>130</v>
      </c>
      <c r="D81" s="89">
        <v>99.69</v>
      </c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</row>
    <row r="82" spans="2:19" ht="17.25" thickBot="1" x14ac:dyDescent="0.3">
      <c r="B82" s="94"/>
      <c r="C82" s="93" t="s">
        <v>125</v>
      </c>
      <c r="D82" s="89">
        <v>79.099999999999994</v>
      </c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</row>
  </sheetData>
  <sortState xmlns:xlrd2="http://schemas.microsoft.com/office/spreadsheetml/2017/richdata2" ref="D27:H42">
    <sortCondition descending="1" ref="E27:E42"/>
  </sortState>
  <mergeCells count="18">
    <mergeCell ref="B55:C55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62:C62"/>
    <mergeCell ref="B56:C56"/>
    <mergeCell ref="B57:C57"/>
    <mergeCell ref="B58:C58"/>
    <mergeCell ref="B59:C59"/>
    <mergeCell ref="B60:C60"/>
    <mergeCell ref="B61:C61"/>
  </mergeCells>
  <conditionalFormatting sqref="H46:H62">
    <cfRule type="cellIs" dxfId="9" priority="11" operator="greaterThan">
      <formula>9</formula>
    </cfRule>
  </conditionalFormatting>
  <conditionalFormatting sqref="I46:I62">
    <cfRule type="cellIs" dxfId="8" priority="10" operator="greaterThan">
      <formula>1000</formula>
    </cfRule>
  </conditionalFormatting>
  <conditionalFormatting sqref="J46:J62">
    <cfRule type="cellIs" dxfId="7" priority="9" operator="greaterThan">
      <formula>60</formula>
    </cfRule>
  </conditionalFormatting>
  <conditionalFormatting sqref="K46:K62">
    <cfRule type="cellIs" dxfId="6" priority="8" operator="greaterThan">
      <formula>1500</formula>
    </cfRule>
  </conditionalFormatting>
  <conditionalFormatting sqref="O46:O62">
    <cfRule type="cellIs" dxfId="5" priority="7" operator="greaterThan">
      <formula>400</formula>
    </cfRule>
  </conditionalFormatting>
  <conditionalFormatting sqref="P46:P62">
    <cfRule type="cellIs" dxfId="4" priority="6" operator="greaterThan">
      <formula>30.6</formula>
    </cfRule>
  </conditionalFormatting>
  <conditionalFormatting sqref="Q46:Q62">
    <cfRule type="cellIs" dxfId="3" priority="5" operator="greaterThan">
      <formula>100</formula>
    </cfRule>
  </conditionalFormatting>
  <conditionalFormatting sqref="R46:R62">
    <cfRule type="cellIs" dxfId="2" priority="4" operator="greaterThan">
      <formula>10</formula>
    </cfRule>
  </conditionalFormatting>
  <conditionalFormatting sqref="S46:S62">
    <cfRule type="cellIs" dxfId="1" priority="3" operator="greaterThan">
      <formula>75</formula>
    </cfRule>
  </conditionalFormatting>
  <conditionalFormatting sqref="T46:U62">
    <cfRule type="cellIs" dxfId="0" priority="1" operator="greaterThan">
      <formula>4.5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Humphrey Nyanzi</dc:creator>
  <cp:lastModifiedBy>Humphrey Nyanzi</cp:lastModifiedBy>
  <dcterms:created xsi:type="dcterms:W3CDTF">2025-06-23T08:25:32Z</dcterms:created>
  <dcterms:modified xsi:type="dcterms:W3CDTF">2025-07-22T10:54:21Z</dcterms:modified>
</cp:coreProperties>
</file>