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4d086cb18a9d7/Desktop/FUFA/Match_Analysis/"/>
    </mc:Choice>
  </mc:AlternateContent>
  <xr:revisionPtr revIDLastSave="10" documentId="8_{F5304803-8618-42B3-8165-1F34E63E08A9}" xr6:coauthVersionLast="47" xr6:coauthVersionMax="47" xr10:uidLastSave="{CC0251A7-0776-41E0-A507-41E7F8B436F0}"/>
  <bookViews>
    <workbookView xWindow="-120" yWindow="-120" windowWidth="20730" windowHeight="11760" activeTab="1" xr2:uid="{F6077C19-DE50-4D6C-8F85-250EF59DDDF4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2" l="1"/>
  <c r="K34" i="2"/>
  <c r="I34" i="2"/>
  <c r="H34" i="2"/>
  <c r="G34" i="2"/>
  <c r="F34" i="2"/>
  <c r="E34" i="2"/>
  <c r="D34" i="2"/>
  <c r="C34" i="2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44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25" i="4"/>
  <c r="M19" i="2"/>
  <c r="L1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3" i="2"/>
  <c r="D19" i="2"/>
  <c r="C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N19" i="2" l="1"/>
  <c r="E19" i="2"/>
</calcChain>
</file>

<file path=xl/sharedStrings.xml><?xml version="1.0" encoding="utf-8"?>
<sst xmlns="http://schemas.openxmlformats.org/spreadsheetml/2006/main" count="359" uniqueCount="221">
  <si>
    <t>Match Day</t>
  </si>
  <si>
    <t>Distance</t>
  </si>
  <si>
    <t>Sprint Distance</t>
  </si>
  <si>
    <t>Power Plays</t>
  </si>
  <si>
    <t>Energy</t>
  </si>
  <si>
    <t>Impacts</t>
  </si>
  <si>
    <t>Player Load</t>
  </si>
  <si>
    <t>Top Speed</t>
  </si>
  <si>
    <t>Distance Per Minute</t>
  </si>
  <si>
    <t>Power Score</t>
  </si>
  <si>
    <t>Work Ratio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</si>
  <si>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</si>
  <si>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</si>
  <si>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</si>
  <si>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</si>
  <si>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</si>
  <si>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</si>
  <si>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</si>
  <si>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</si>
  <si>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</si>
  <si>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</si>
  <si>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</si>
  <si>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</si>
  <si>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</si>
  <si>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</si>
  <si>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</si>
  <si>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</si>
  <si>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</si>
  <si>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</si>
  <si>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</si>
  <si>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</si>
  <si>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</si>
  <si>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</si>
  <si>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</si>
  <si>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</si>
  <si>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</si>
  <si>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</si>
  <si>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MD27</t>
  </si>
  <si>
    <t>MD28</t>
  </si>
  <si>
    <t>MD29</t>
  </si>
  <si>
    <t>MD30</t>
  </si>
  <si>
    <t>Club Name</t>
  </si>
  <si>
    <t>Used cat</t>
  </si>
  <si>
    <t>Over </t>
  </si>
  <si>
    <t>Mbarara City FC</t>
  </si>
  <si>
    <t>Wakiso Giants FC</t>
  </si>
  <si>
    <t>Kitara FC</t>
  </si>
  <si>
    <t>BUL FC</t>
  </si>
  <si>
    <t>Vipers SC</t>
  </si>
  <si>
    <t>Police FC</t>
  </si>
  <si>
    <t>Lugazi FC</t>
  </si>
  <si>
    <t>KCCA FC</t>
  </si>
  <si>
    <t>URA FC</t>
  </si>
  <si>
    <t>NEC FC</t>
  </si>
  <si>
    <t>Maroons FC</t>
  </si>
  <si>
    <t>UPDF FC</t>
  </si>
  <si>
    <t>Soltilo Bright Stars FC</t>
  </si>
  <si>
    <t>Mbale Heroes FC</t>
  </si>
  <si>
    <t>Express FC</t>
  </si>
  <si>
    <t>SC Villa</t>
  </si>
  <si>
    <t>Number of Match Days Recorded</t>
  </si>
  <si>
    <t xml:space="preserve"> Total Match Days </t>
  </si>
  <si>
    <t>Percentage</t>
  </si>
  <si>
    <t>Number  of Clubs</t>
  </si>
  <si>
    <t>MD 1</t>
  </si>
  <si>
    <t>MD 2</t>
  </si>
  <si>
    <t>MD 3</t>
  </si>
  <si>
    <t>MD 4</t>
  </si>
  <si>
    <t>MD 5</t>
  </si>
  <si>
    <t>MD 6</t>
  </si>
  <si>
    <t>MD 7</t>
  </si>
  <si>
    <t>MD 8</t>
  </si>
  <si>
    <t>MD 9</t>
  </si>
  <si>
    <t>MD 10</t>
  </si>
  <si>
    <t>MD 11</t>
  </si>
  <si>
    <t>MD 12</t>
  </si>
  <si>
    <t>MD 13</t>
  </si>
  <si>
    <t>MD 14</t>
  </si>
  <si>
    <t>MD 15</t>
  </si>
  <si>
    <t>MD 16</t>
  </si>
  <si>
    <t>MD 17</t>
  </si>
  <si>
    <t>MD 18</t>
  </si>
  <si>
    <t>MD 19</t>
  </si>
  <si>
    <t>MD 20</t>
  </si>
  <si>
    <t>MD 21</t>
  </si>
  <si>
    <t>MD 22</t>
  </si>
  <si>
    <t>MD 23</t>
  </si>
  <si>
    <t>MD 24</t>
  </si>
  <si>
    <t>MD 25</t>
  </si>
  <si>
    <t>MD 26</t>
  </si>
  <si>
    <t>MD 27</t>
  </si>
  <si>
    <t>MD 28</t>
  </si>
  <si>
    <t>MD 29</t>
  </si>
  <si>
    <t>MD 30</t>
  </si>
  <si>
    <t>Count</t>
  </si>
  <si>
    <t>Venue</t>
  </si>
  <si>
    <t>Away</t>
  </si>
  <si>
    <t>Home</t>
  </si>
  <si>
    <t>Result</t>
  </si>
  <si>
    <t>Loss</t>
  </si>
  <si>
    <t>Win</t>
  </si>
  <si>
    <t>Draw</t>
  </si>
  <si>
    <t>Average Number of Players Per Match Day</t>
  </si>
  <si>
    <t>avg_total_decelerations</t>
  </si>
  <si>
    <t>Sc Villa</t>
  </si>
  <si>
    <t>Soltilo Bright Stars Fc</t>
  </si>
  <si>
    <t>Kcca Fc</t>
  </si>
  <si>
    <t>Maroons Fc</t>
  </si>
  <si>
    <t>Bul Fc</t>
  </si>
  <si>
    <t>Vipers Sc</t>
  </si>
  <si>
    <t>Express Fc</t>
  </si>
  <si>
    <t>Police Fc</t>
  </si>
  <si>
    <t>Ura Fc</t>
  </si>
  <si>
    <t>Wakiso Giants Fc</t>
  </si>
  <si>
    <t>Mbarara City Fc</t>
  </si>
  <si>
    <t>Lugazi Fc</t>
  </si>
  <si>
    <t>Kitara Fc</t>
  </si>
  <si>
    <t>Mbale Heroes Fc</t>
  </si>
  <si>
    <t>Updf Fc</t>
  </si>
  <si>
    <t>Nec Fc</t>
  </si>
  <si>
    <t>club_for</t>
  </si>
  <si>
    <t>avg_distance_km</t>
  </si>
  <si>
    <t>avg_sprint_distance_m</t>
  </si>
  <si>
    <t>avg_power_plays</t>
  </si>
  <si>
    <t>avg_energy_kcal</t>
  </si>
  <si>
    <t>avg_impacts</t>
  </si>
  <si>
    <t>avg_total_accelerations</t>
  </si>
  <si>
    <t>Average Total Accelerations</t>
  </si>
  <si>
    <t>Average Total Decelerations</t>
  </si>
  <si>
    <t>avg_player_load</t>
  </si>
  <si>
    <t>avg_power_score_wkg</t>
  </si>
  <si>
    <t>avg_work_ratio</t>
  </si>
  <si>
    <t>avg_acc_counts_per_min</t>
  </si>
  <si>
    <t>avg_dec_counts_per_min</t>
  </si>
  <si>
    <t>Average Acceleration Counts Per Min</t>
  </si>
  <si>
    <t>Average Deceleration Ccounts Per Min</t>
  </si>
  <si>
    <t>max</t>
  </si>
  <si>
    <t>mean</t>
  </si>
  <si>
    <t>std</t>
  </si>
  <si>
    <t>player_load</t>
  </si>
  <si>
    <t>top_speed_kmh</t>
  </si>
  <si>
    <t>distance_per_min_mmin</t>
  </si>
  <si>
    <t>power_score_wkg</t>
  </si>
  <si>
    <t>work_ratio</t>
  </si>
  <si>
    <t>max_acceleration_mss</t>
  </si>
  <si>
    <t>max_deceleration_mss</t>
  </si>
  <si>
    <t>acc_counts_per_min</t>
  </si>
  <si>
    <t>dec_counts_per_min</t>
  </si>
  <si>
    <t>Mean</t>
  </si>
  <si>
    <t>Std Dev</t>
  </si>
  <si>
    <t>Distance per minute</t>
  </si>
  <si>
    <t>Maximum Acceleration</t>
  </si>
  <si>
    <t>Maximum Deceleration</t>
  </si>
  <si>
    <t>Accelerations per Minute</t>
  </si>
  <si>
    <t>Decelerations per Minute   </t>
  </si>
  <si>
    <t>    1.18</t>
  </si>
  <si>
    <t>max_top_speed_kmh</t>
  </si>
  <si>
    <t>max_distance_per_min_mmin</t>
  </si>
  <si>
    <t>max_max_acceleration_mss</t>
  </si>
  <si>
    <t>max_max_deceleration_mss</t>
  </si>
  <si>
    <t>metric</t>
  </si>
  <si>
    <t>player</t>
  </si>
  <si>
    <t>club</t>
  </si>
  <si>
    <t>value</t>
  </si>
  <si>
    <t>match day</t>
  </si>
  <si>
    <t>distance_km</t>
  </si>
  <si>
    <t>Ronald Ssekiganda</t>
  </si>
  <si>
    <t>Md7</t>
  </si>
  <si>
    <t>sprint_distance_m</t>
  </si>
  <si>
    <t>Innocent Wafula Esimu</t>
  </si>
  <si>
    <t>Md1</t>
  </si>
  <si>
    <t>power_plays</t>
  </si>
  <si>
    <t>energy_kcal</t>
  </si>
  <si>
    <t>Amos Etoju</t>
  </si>
  <si>
    <t>Md11</t>
  </si>
  <si>
    <t>impacts</t>
  </si>
  <si>
    <t>Blanchar Mulamba</t>
  </si>
  <si>
    <t>Md13</t>
  </si>
  <si>
    <t>total_accelerations</t>
  </si>
  <si>
    <t>Felix Okot</t>
  </si>
  <si>
    <t>Md29</t>
  </si>
  <si>
    <t>total_decelerations</t>
  </si>
  <si>
    <t>Yafeesi Mubiru</t>
  </si>
  <si>
    <t>Tonny Atukunda</t>
  </si>
  <si>
    <t>Andrew Kyambadde</t>
  </si>
  <si>
    <t>Md21</t>
  </si>
  <si>
    <t>Aggrey Kiirya</t>
  </si>
  <si>
    <t>Md25</t>
  </si>
  <si>
    <t>Frank Tumwesigye</t>
  </si>
  <si>
    <t>Md27</t>
  </si>
  <si>
    <t>match_day</t>
  </si>
  <si>
    <t>Md2</t>
  </si>
  <si>
    <t>Md3</t>
  </si>
  <si>
    <t>Md4</t>
  </si>
  <si>
    <t>Md5</t>
  </si>
  <si>
    <t>Md6</t>
  </si>
  <si>
    <t>Md8</t>
  </si>
  <si>
    <t>Md9</t>
  </si>
  <si>
    <t>Md10</t>
  </si>
  <si>
    <t>Md12</t>
  </si>
  <si>
    <t>Md14</t>
  </si>
  <si>
    <t>Md15</t>
  </si>
  <si>
    <t>Md16</t>
  </si>
  <si>
    <t>Md17</t>
  </si>
  <si>
    <t>Md18</t>
  </si>
  <si>
    <t>Md19</t>
  </si>
  <si>
    <t>Md20</t>
  </si>
  <si>
    <t>Md22</t>
  </si>
  <si>
    <t>Md23</t>
  </si>
  <si>
    <t>Md24</t>
  </si>
  <si>
    <t>Md26</t>
  </si>
  <si>
    <t>Md28</t>
  </si>
  <si>
    <t>Md30</t>
  </si>
  <si>
    <t>Acceleration Counts Per Minute</t>
  </si>
  <si>
    <t>Deceleration Counts Per Minute</t>
  </si>
  <si>
    <t>Total Accelerations</t>
  </si>
  <si>
    <t>Total Decelerations</t>
  </si>
  <si>
    <t>Position Category</t>
  </si>
  <si>
    <t>Defenders</t>
  </si>
  <si>
    <t>Midfielders</t>
  </si>
  <si>
    <t>Forwards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</si>
</sst>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Arial"/>
      <family val="2"/>
    </font>
    <font>
      <sz val="11.5"/>
      <color rgb="FF000000"/>
      <name val="Arial"/>
      <family val="2"/>
    </font>
    <font>
      <b/>
      <sz val="11.5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5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4" fontId="0" fillId="2" borderId="3" xfId="0" applyNumberFormat="1" applyFill="1" applyBorder="1" applyAlignment="1">
      <alignment vertical="top" wrapText="1"/>
    </xf>
    <xf numFmtId="164" fontId="0" fillId="2" borderId="4" xfId="0" applyNumberForma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0" fillId="0" borderId="3" xfId="0" applyBorder="1"/>
    <xf numFmtId="0" fontId="3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/>
    <xf numFmtId="164" fontId="0" fillId="0" borderId="4" xfId="0" applyNumberForma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6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 indent="5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99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Positional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Defenders</c:v>
                </c:pt>
              </c:strCache>
            </c:strRef>
          </c:tx>
          <c:spPr>
            <a:solidFill>
              <a:sysClr val="window" lastClr="FFFFFF"/>
            </a:solidFill>
            <a:ln w="28575">
              <a:solidFill>
                <a:srgbClr val="99FF33"/>
              </a:solidFill>
            </a:ln>
            <a:effectLst/>
          </c:spPr>
          <c:cat>
            <c:strRef>
              <c:f>Sheet2!$C$41:$I$41</c:f>
              <c:strCache>
                <c:ptCount val="7"/>
                <c:pt idx="0">
                  <c:v>Distance</c:v>
                </c:pt>
                <c:pt idx="1">
                  <c:v>Sprint Distance</c:v>
                </c:pt>
                <c:pt idx="2">
                  <c:v>Power Plays</c:v>
                </c:pt>
                <c:pt idx="3">
                  <c:v>Impacts</c:v>
                </c:pt>
                <c:pt idx="4">
                  <c:v>Player Load</c:v>
                </c:pt>
                <c:pt idx="5">
                  <c:v>Total Accelerations</c:v>
                </c:pt>
                <c:pt idx="6">
                  <c:v>Total Decelerations</c:v>
                </c:pt>
              </c:strCache>
            </c:strRef>
          </c:cat>
          <c:val>
            <c:numRef>
              <c:f>Sheet2!$C$42:$I$42</c:f>
              <c:numCache>
                <c:formatCode>General</c:formatCode>
                <c:ptCount val="7"/>
                <c:pt idx="0">
                  <c:v>35.69</c:v>
                </c:pt>
                <c:pt idx="1">
                  <c:v>33.49</c:v>
                </c:pt>
                <c:pt idx="2">
                  <c:v>33.19</c:v>
                </c:pt>
                <c:pt idx="3">
                  <c:v>31.49</c:v>
                </c:pt>
                <c:pt idx="4">
                  <c:v>35.67</c:v>
                </c:pt>
                <c:pt idx="5">
                  <c:v>36.479999999999997</c:v>
                </c:pt>
                <c:pt idx="6">
                  <c:v>36.51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A-400B-9AA7-769135790DDA}"/>
            </c:ext>
          </c:extLst>
        </c:ser>
        <c:ser>
          <c:idx val="1"/>
          <c:order val="1"/>
          <c:tx>
            <c:strRef>
              <c:f>Sheet2!$B$43</c:f>
              <c:strCache>
                <c:ptCount val="1"/>
                <c:pt idx="0">
                  <c:v>Midfielders</c:v>
                </c:pt>
              </c:strCache>
            </c:strRef>
          </c:tx>
          <c:spPr>
            <a:solidFill>
              <a:srgbClr val="FFFFFF">
                <a:alpha val="0"/>
              </a:srgb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cat>
            <c:strRef>
              <c:f>Sheet2!$C$41:$I$41</c:f>
              <c:strCache>
                <c:ptCount val="7"/>
                <c:pt idx="0">
                  <c:v>Distance</c:v>
                </c:pt>
                <c:pt idx="1">
                  <c:v>Sprint Distance</c:v>
                </c:pt>
                <c:pt idx="2">
                  <c:v>Power Plays</c:v>
                </c:pt>
                <c:pt idx="3">
                  <c:v>Impacts</c:v>
                </c:pt>
                <c:pt idx="4">
                  <c:v>Player Load</c:v>
                </c:pt>
                <c:pt idx="5">
                  <c:v>Total Accelerations</c:v>
                </c:pt>
                <c:pt idx="6">
                  <c:v>Total Decelerations</c:v>
                </c:pt>
              </c:strCache>
            </c:strRef>
          </c:cat>
          <c:val>
            <c:numRef>
              <c:f>Sheet2!$C$43:$I$43</c:f>
              <c:numCache>
                <c:formatCode>General</c:formatCode>
                <c:ptCount val="7"/>
                <c:pt idx="0">
                  <c:v>34.380000000000003</c:v>
                </c:pt>
                <c:pt idx="1">
                  <c:v>32.1</c:v>
                </c:pt>
                <c:pt idx="2">
                  <c:v>34.64</c:v>
                </c:pt>
                <c:pt idx="3">
                  <c:v>29.55</c:v>
                </c:pt>
                <c:pt idx="4">
                  <c:v>34.200000000000003</c:v>
                </c:pt>
                <c:pt idx="5">
                  <c:v>34.92</c:v>
                </c:pt>
                <c:pt idx="6">
                  <c:v>34.869999999999997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A-400B-9AA7-769135790DDA}"/>
            </c:ext>
          </c:extLst>
        </c:ser>
        <c:ser>
          <c:idx val="2"/>
          <c:order val="2"/>
          <c:tx>
            <c:strRef>
              <c:f>Sheet2!$B$44</c:f>
              <c:strCache>
                <c:ptCount val="1"/>
                <c:pt idx="0">
                  <c:v>Forwards</c:v>
                </c:pt>
              </c:strCache>
            </c:strRef>
          </c:tx>
          <c:spPr>
            <a:solidFill>
              <a:srgbClr val="FFFFFF">
                <a:alpha val="0"/>
              </a:srgbClr>
            </a:solidFill>
            <a:ln w="19050">
              <a:solidFill>
                <a:schemeClr val="accent2"/>
              </a:solidFill>
            </a:ln>
            <a:effectLst/>
          </c:spPr>
          <c:cat>
            <c:strRef>
              <c:f>Sheet2!$C$41:$I$41</c:f>
              <c:strCache>
                <c:ptCount val="7"/>
                <c:pt idx="0">
                  <c:v>Distance</c:v>
                </c:pt>
                <c:pt idx="1">
                  <c:v>Sprint Distance</c:v>
                </c:pt>
                <c:pt idx="2">
                  <c:v>Power Plays</c:v>
                </c:pt>
                <c:pt idx="3">
                  <c:v>Impacts</c:v>
                </c:pt>
                <c:pt idx="4">
                  <c:v>Player Load</c:v>
                </c:pt>
                <c:pt idx="5">
                  <c:v>Total Accelerations</c:v>
                </c:pt>
                <c:pt idx="6">
                  <c:v>Total Decelerations</c:v>
                </c:pt>
              </c:strCache>
            </c:strRef>
          </c:cat>
          <c:val>
            <c:numRef>
              <c:f>Sheet2!$C$44:$I$44</c:f>
              <c:numCache>
                <c:formatCode>General</c:formatCode>
                <c:ptCount val="7"/>
                <c:pt idx="0">
                  <c:v>29.93</c:v>
                </c:pt>
                <c:pt idx="1">
                  <c:v>34.409999999999997</c:v>
                </c:pt>
                <c:pt idx="2">
                  <c:v>32.17</c:v>
                </c:pt>
                <c:pt idx="3">
                  <c:v>38.96</c:v>
                </c:pt>
                <c:pt idx="4">
                  <c:v>30.13</c:v>
                </c:pt>
                <c:pt idx="5">
                  <c:v>28.59</c:v>
                </c:pt>
                <c:pt idx="6">
                  <c:v>28.61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A-400B-9AA7-769135790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372303"/>
        <c:axId val="881372783"/>
      </c:radarChart>
      <c:catAx>
        <c:axId val="88137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881372783"/>
        <c:crosses val="autoZero"/>
        <c:auto val="1"/>
        <c:lblAlgn val="ctr"/>
        <c:lblOffset val="100"/>
        <c:noMultiLvlLbl val="0"/>
      </c:catAx>
      <c:valAx>
        <c:axId val="8813727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8137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278580177477816"/>
          <c:y val="0.12887550200803213"/>
          <c:w val="0.53252363454568175"/>
          <c:h val="7.262214211175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Average Number of Players who</a:t>
            </a:r>
            <a:r>
              <a:rPr lang="en-US" sz="1500" baseline="0">
                <a:solidFill>
                  <a:schemeClr val="tx1"/>
                </a:solidFill>
              </a:rPr>
              <a:t> used Catapult</a:t>
            </a:r>
            <a:r>
              <a:rPr lang="en-US" sz="1500">
                <a:solidFill>
                  <a:schemeClr val="tx1"/>
                </a:solidFill>
              </a:rPr>
              <a:t> Per Match Day</a:t>
            </a:r>
          </a:p>
        </c:rich>
      </c:tx>
      <c:layout>
        <c:manualLayout>
          <c:xMode val="edge"/>
          <c:yMode val="edge"/>
          <c:x val="0.12886580005901629"/>
          <c:y val="4.3859649122807015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Sheet4!$C$2</c:f>
              <c:strCache>
                <c:ptCount val="1"/>
                <c:pt idx="0">
                  <c:v>Average Number of Players Per Match Day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Sheet4!$B$3:$B$18</c:f>
              <c:strCache>
                <c:ptCount val="16"/>
                <c:pt idx="0">
                  <c:v>Maroons FC</c:v>
                </c:pt>
                <c:pt idx="1">
                  <c:v>Wakiso Giants FC</c:v>
                </c:pt>
                <c:pt idx="2">
                  <c:v>URA FC</c:v>
                </c:pt>
                <c:pt idx="3">
                  <c:v>Mbarara City FC</c:v>
                </c:pt>
                <c:pt idx="4">
                  <c:v>Lugazi FC</c:v>
                </c:pt>
                <c:pt idx="5">
                  <c:v>NEC FC</c:v>
                </c:pt>
                <c:pt idx="6">
                  <c:v>Kitara FC</c:v>
                </c:pt>
                <c:pt idx="7">
                  <c:v>Express FC</c:v>
                </c:pt>
                <c:pt idx="8">
                  <c:v>Vipers SC</c:v>
                </c:pt>
                <c:pt idx="9">
                  <c:v>UPDF FC</c:v>
                </c:pt>
                <c:pt idx="10">
                  <c:v>KCCA FC</c:v>
                </c:pt>
                <c:pt idx="11">
                  <c:v>BUL FC</c:v>
                </c:pt>
                <c:pt idx="12">
                  <c:v>Mbale Heroes FC</c:v>
                </c:pt>
                <c:pt idx="13">
                  <c:v>Soltilo Bright Stars FC</c:v>
                </c:pt>
                <c:pt idx="14">
                  <c:v>Police FC</c:v>
                </c:pt>
                <c:pt idx="15">
                  <c:v>SC Villa</c:v>
                </c:pt>
              </c:strCache>
            </c:strRef>
          </c:cat>
          <c:val>
            <c:numRef>
              <c:f>Sheet4!$C$3:$C$18</c:f>
              <c:numCache>
                <c:formatCode>General</c:formatCode>
                <c:ptCount val="16"/>
                <c:pt idx="0">
                  <c:v>11.21</c:v>
                </c:pt>
                <c:pt idx="1">
                  <c:v>11.17</c:v>
                </c:pt>
                <c:pt idx="2">
                  <c:v>10.9</c:v>
                </c:pt>
                <c:pt idx="3">
                  <c:v>10.79</c:v>
                </c:pt>
                <c:pt idx="4">
                  <c:v>10.76</c:v>
                </c:pt>
                <c:pt idx="5">
                  <c:v>10.72</c:v>
                </c:pt>
                <c:pt idx="6">
                  <c:v>10.44</c:v>
                </c:pt>
                <c:pt idx="7">
                  <c:v>10.25</c:v>
                </c:pt>
                <c:pt idx="8">
                  <c:v>9.89</c:v>
                </c:pt>
                <c:pt idx="9">
                  <c:v>9.6300000000000008</c:v>
                </c:pt>
                <c:pt idx="10">
                  <c:v>9.23</c:v>
                </c:pt>
                <c:pt idx="11">
                  <c:v>8.3699999999999992</c:v>
                </c:pt>
                <c:pt idx="12">
                  <c:v>8.09</c:v>
                </c:pt>
                <c:pt idx="13">
                  <c:v>7.53</c:v>
                </c:pt>
                <c:pt idx="14">
                  <c:v>7.4</c:v>
                </c:pt>
                <c:pt idx="15">
                  <c:v>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7-4877-8186-0C95999504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288672"/>
        <c:axId val="248304512"/>
      </c:barChart>
      <c:catAx>
        <c:axId val="2482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48304512"/>
        <c:crosses val="autoZero"/>
        <c:auto val="1"/>
        <c:lblAlgn val="ctr"/>
        <c:lblOffset val="100"/>
        <c:noMultiLvlLbl val="0"/>
      </c:catAx>
      <c:valAx>
        <c:axId val="2483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482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Match</a:t>
            </a:r>
            <a:r>
              <a:rPr lang="en-US" b="1" baseline="0">
                <a:solidFill>
                  <a:schemeClr val="tx1"/>
                </a:solidFill>
              </a:rPr>
              <a:t> Venue Proportion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31933508311459"/>
          <c:y val="3.2407407407407406E-2"/>
        </c:manualLayout>
      </c:layout>
      <c:overlay val="0"/>
      <c:spPr>
        <a:noFill/>
        <a:ln>
          <a:solidFill>
            <a:schemeClr val="bg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Sheet3!$E$6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8-4715-AFA3-9FA4F8AB9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F8-4715-AFA3-9FA4F8AB9509}"/>
              </c:ext>
            </c:extLst>
          </c:dPt>
          <c:dLbls>
            <c:dLbl>
              <c:idx val="0"/>
              <c:layout>
                <c:manualLayout>
                  <c:x val="0.11527777777777778"/>
                  <c:y val="1.15740740740740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C1DA4C-4FAE-4181-9021-439C8833AAF7}" type="PERCENTA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 b="1"/>
                      </a:pPr>
                      <a:t>[PERCENTAGE]</a:t>
                    </a:fld>
                    <a:endParaRPr lang="en-UG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G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430664916885395E-2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F8-4715-AFA3-9FA4F8AB9509}"/>
                </c:ext>
              </c:extLst>
            </c:dLbl>
            <c:dLbl>
              <c:idx val="1"/>
              <c:layout>
                <c:manualLayout>
                  <c:x val="-9.7222222222222252E-2"/>
                  <c:y val="-6.944444444444440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G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763998250218726E-2"/>
                      <c:h val="0.124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6F8-4715-AFA3-9FA4F8AB95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Sheet3!$F$5:$G$5</c:f>
              <c:strCache>
                <c:ptCount val="2"/>
                <c:pt idx="0">
                  <c:v>Away</c:v>
                </c:pt>
                <c:pt idx="1">
                  <c:v>Home</c:v>
                </c:pt>
              </c:strCache>
            </c:strRef>
          </c:cat>
          <c:val>
            <c:numRef>
              <c:f>Sheet3!$F$6:$G$6</c:f>
              <c:numCache>
                <c:formatCode>#,##0</c:formatCode>
                <c:ptCount val="2"/>
                <c:pt idx="0">
                  <c:v>1855</c:v>
                </c:pt>
                <c:pt idx="1">
                  <c:v>1737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8-4715-AFA3-9FA4F8AB9509}"/>
            </c:ext>
          </c:extLst>
        </c:ser>
        <c:ser>
          <c:idx val="1"/>
          <c:order val="1"/>
          <c:tx>
            <c:strRef>
              <c:f>Sheet3!$E$7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31-4358-B4BE-344173C0F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31-4358-B4BE-344173C0F980}"/>
              </c:ext>
            </c:extLst>
          </c:dPt>
          <c:dLbls>
            <c:delete val="1"/>
          </c:dLbls>
          <c:cat>
            <c:strRef>
              <c:f>Sheet3!$F$5:$G$5</c:f>
              <c:strCache>
                <c:ptCount val="2"/>
                <c:pt idx="0">
                  <c:v>Away</c:v>
                </c:pt>
                <c:pt idx="1">
                  <c:v>Home</c:v>
                </c:pt>
              </c:strCache>
            </c:strRef>
          </c:cat>
          <c:val>
            <c:numRef>
              <c:f>Sheet3!$F$7:$G$7</c:f>
              <c:numCache>
                <c:formatCode>General</c:formatCode>
                <c:ptCount val="2"/>
                <c:pt idx="0">
                  <c:v>51.64</c:v>
                </c:pt>
                <c:pt idx="1">
                  <c:v>48.36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8-4715-AFA3-9FA4F8AB95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"/>
        <c:holeSize val="6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</c:legendEntry>
      <c:layout>
        <c:manualLayout>
          <c:xMode val="edge"/>
          <c:yMode val="edge"/>
          <c:x val="0.27196128608923881"/>
          <c:y val="0.82465223097112861"/>
          <c:w val="0.422744094488189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Result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3184472878390201"/>
          <c:y val="0.20580950871074002"/>
          <c:w val="0.36866119860017499"/>
          <c:h val="0.59381669573182549"/>
        </c:manualLayout>
      </c:layout>
      <c:doughnutChart>
        <c:varyColors val="1"/>
        <c:ser>
          <c:idx val="0"/>
          <c:order val="0"/>
          <c:tx>
            <c:strRef>
              <c:f>Sheet3!$M$6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B1-4944-A8C2-524510F945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B1-4944-A8C2-524510F945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B1-4944-A8C2-524510F94567}"/>
              </c:ext>
            </c:extLst>
          </c:dPt>
          <c:dLbls>
            <c:delete val="1"/>
          </c:dLbls>
          <c:cat>
            <c:strRef>
              <c:f>Sheet3!$N$5:$P$5</c:f>
              <c:strCache>
                <c:ptCount val="3"/>
                <c:pt idx="0">
                  <c:v>Loss</c:v>
                </c:pt>
                <c:pt idx="1">
                  <c:v>Win</c:v>
                </c:pt>
                <c:pt idx="2">
                  <c:v>Draw</c:v>
                </c:pt>
              </c:strCache>
            </c:strRef>
          </c:cat>
          <c:val>
            <c:numRef>
              <c:f>Sheet3!$N$6:$P$6</c:f>
              <c:numCache>
                <c:formatCode>#,##0</c:formatCode>
                <c:ptCount val="3"/>
                <c:pt idx="0">
                  <c:v>1325</c:v>
                </c:pt>
                <c:pt idx="1">
                  <c:v>1267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2-4214-B4BB-9F36C4CF3D08}"/>
            </c:ext>
          </c:extLst>
        </c:ser>
        <c:ser>
          <c:idx val="1"/>
          <c:order val="1"/>
          <c:tx>
            <c:strRef>
              <c:f>Sheet3!$M$7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02-4214-B4BB-9F36C4CF3D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02-4214-B4BB-9F36C4CF3D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2-4214-B4BB-9F36C4CF3D08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-7.60626398210290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02-4214-B4BB-9F36C4CF3D08}"/>
                </c:ext>
              </c:extLst>
            </c:dLbl>
            <c:dLbl>
              <c:idx val="1"/>
              <c:layout>
                <c:manualLayout>
                  <c:x val="-0.1388888888888889"/>
                  <c:y val="0.1208053691275167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02-4214-B4BB-9F36C4CF3D08}"/>
                </c:ext>
              </c:extLst>
            </c:dLbl>
            <c:dLbl>
              <c:idx val="2"/>
              <c:layout>
                <c:manualLayout>
                  <c:x val="-9.4444444444444497E-2"/>
                  <c:y val="-7.15883668903803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02-4214-B4BB-9F36C4CF3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ysClr val="windowText" lastClr="0000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Sheet3!$N$5:$P$5</c:f>
              <c:strCache>
                <c:ptCount val="3"/>
                <c:pt idx="0">
                  <c:v>Loss</c:v>
                </c:pt>
                <c:pt idx="1">
                  <c:v>Win</c:v>
                </c:pt>
                <c:pt idx="2">
                  <c:v>Draw</c:v>
                </c:pt>
              </c:strCache>
            </c:strRef>
          </c:cat>
          <c:val>
            <c:numRef>
              <c:f>Sheet3!$N$7:$P$7</c:f>
              <c:numCache>
                <c:formatCode>General</c:formatCode>
                <c:ptCount val="3"/>
                <c:pt idx="0">
                  <c:v>36.89</c:v>
                </c:pt>
                <c:pt idx="1">
                  <c:v>35.270000000000003</c:v>
                </c:pt>
                <c:pt idx="2">
                  <c:v>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2-4214-B4BB-9F36C4CF3D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0301837270345"/>
          <c:y val="0.80369074671035245"/>
          <c:w val="0.38012707786526678"/>
          <c:h val="0.12472088639926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25</xdr:row>
      <xdr:rowOff>38100</xdr:rowOff>
    </xdr:from>
    <xdr:to>
      <xdr:col>14</xdr:col>
      <xdr:colOff>533399</xdr:colOff>
      <xdr:row>38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CC5EC-A773-34CF-BE7E-645A94BEE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142875</xdr:rowOff>
    </xdr:from>
    <xdr:to>
      <xdr:col>17</xdr:col>
      <xdr:colOff>180976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64559-6980-1A73-C071-F005BD94E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7</xdr:row>
      <xdr:rowOff>104775</xdr:rowOff>
    </xdr:from>
    <xdr:to>
      <xdr:col>10</xdr:col>
      <xdr:colOff>400050</xdr:colOff>
      <xdr:row>21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61A6DE-BE45-7FFB-D46E-AA2974274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7</xdr:row>
      <xdr:rowOff>85725</xdr:rowOff>
    </xdr:from>
    <xdr:to>
      <xdr:col>20</xdr:col>
      <xdr:colOff>485775</xdr:colOff>
      <xdr:row>22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21FA8C-368D-A31C-B10C-B93711E98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5870-A0AA-46C1-A763-5CF116F4A4C5}">
  <dimension ref="B2:P63"/>
  <sheetViews>
    <sheetView workbookViewId="0">
      <selection activeCell="B31" sqref="B31:P32"/>
    </sheetView>
  </sheetViews>
  <sheetFormatPr defaultRowHeight="15" x14ac:dyDescent="0.25"/>
  <cols>
    <col min="15" max="15" width="10.85546875" customWidth="1"/>
    <col min="16" max="16" width="12.28515625" customWidth="1"/>
  </cols>
  <sheetData>
    <row r="2" spans="2:16" ht="45" x14ac:dyDescent="0.25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47" t="s">
        <v>151</v>
      </c>
      <c r="N2" s="47" t="s">
        <v>152</v>
      </c>
      <c r="O2" s="47" t="s">
        <v>213</v>
      </c>
      <c r="P2" s="47" t="s">
        <v>214</v>
      </c>
    </row>
    <row r="3" spans="2:16" ht="16.5" x14ac:dyDescent="0.25">
      <c r="B3" s="14" t="s">
        <v>11</v>
      </c>
      <c r="C3" s="14">
        <v>8.98</v>
      </c>
      <c r="D3" s="14">
        <v>956.91</v>
      </c>
      <c r="E3" s="14">
        <v>67.08</v>
      </c>
      <c r="F3" s="14">
        <v>1103.22</v>
      </c>
      <c r="G3" s="14">
        <v>7.07</v>
      </c>
      <c r="H3" s="14">
        <v>414.3</v>
      </c>
      <c r="I3" s="14">
        <v>29.59</v>
      </c>
      <c r="J3" s="14">
        <v>91.04</v>
      </c>
      <c r="K3" s="14">
        <v>14.78</v>
      </c>
      <c r="L3" s="46">
        <v>76.87</v>
      </c>
      <c r="M3" s="48">
        <v>5.92</v>
      </c>
      <c r="N3" s="48">
        <v>7.27</v>
      </c>
      <c r="O3" s="48">
        <v>4.29</v>
      </c>
      <c r="P3" s="48">
        <v>4.12</v>
      </c>
    </row>
    <row r="4" spans="2:16" ht="16.5" x14ac:dyDescent="0.25">
      <c r="B4" s="1" t="s">
        <v>12</v>
      </c>
      <c r="C4" s="1">
        <v>8.82</v>
      </c>
      <c r="D4" s="1">
        <v>941.03</v>
      </c>
      <c r="E4" s="1">
        <v>65.680000000000007</v>
      </c>
      <c r="F4" s="1">
        <v>1075.69</v>
      </c>
      <c r="G4" s="1">
        <v>6.43</v>
      </c>
      <c r="H4" s="1">
        <v>403.98</v>
      </c>
      <c r="I4" s="1">
        <v>29.87</v>
      </c>
      <c r="J4" s="1">
        <v>89.55</v>
      </c>
      <c r="K4" s="1">
        <v>14.47</v>
      </c>
      <c r="L4" s="22">
        <v>74.44</v>
      </c>
      <c r="M4" s="48">
        <v>5.95</v>
      </c>
      <c r="N4" s="48">
        <v>7.13</v>
      </c>
      <c r="O4" s="48">
        <v>4.09</v>
      </c>
      <c r="P4" s="48">
        <v>3.93</v>
      </c>
    </row>
    <row r="5" spans="2:16" ht="16.5" x14ac:dyDescent="0.25">
      <c r="B5" s="1" t="s">
        <v>13</v>
      </c>
      <c r="C5" s="1">
        <v>9.0500000000000007</v>
      </c>
      <c r="D5" s="1">
        <v>874.16</v>
      </c>
      <c r="E5" s="1">
        <v>63.38</v>
      </c>
      <c r="F5" s="1">
        <v>1103.6400000000001</v>
      </c>
      <c r="G5" s="1">
        <v>6.77</v>
      </c>
      <c r="H5" s="1">
        <v>417.16</v>
      </c>
      <c r="I5" s="1">
        <v>29.85</v>
      </c>
      <c r="J5" s="1">
        <v>91.25</v>
      </c>
      <c r="K5" s="1">
        <v>14.69</v>
      </c>
      <c r="L5" s="22">
        <v>76.78</v>
      </c>
      <c r="M5" s="48">
        <v>5.89</v>
      </c>
      <c r="N5" s="48">
        <v>7.18</v>
      </c>
      <c r="O5" s="48">
        <v>4.4000000000000004</v>
      </c>
      <c r="P5" s="48">
        <v>4.2300000000000004</v>
      </c>
    </row>
    <row r="6" spans="2:16" ht="16.5" x14ac:dyDescent="0.25">
      <c r="B6" s="1" t="s">
        <v>14</v>
      </c>
      <c r="C6" s="1">
        <v>8.81</v>
      </c>
      <c r="D6" s="1">
        <v>857.12</v>
      </c>
      <c r="E6" s="1">
        <v>61.64</v>
      </c>
      <c r="F6" s="1">
        <v>1077.28</v>
      </c>
      <c r="G6" s="1">
        <v>7.27</v>
      </c>
      <c r="H6" s="1">
        <v>405.54</v>
      </c>
      <c r="I6" s="1">
        <v>29.73</v>
      </c>
      <c r="J6" s="1">
        <v>89.08</v>
      </c>
      <c r="K6" s="1">
        <v>14.4</v>
      </c>
      <c r="L6" s="22">
        <v>74.62</v>
      </c>
      <c r="M6" s="48">
        <v>5.84</v>
      </c>
      <c r="N6" s="48">
        <v>7.18</v>
      </c>
      <c r="O6" s="48">
        <v>4.2699999999999996</v>
      </c>
      <c r="P6" s="48">
        <v>4.0999999999999996</v>
      </c>
    </row>
    <row r="7" spans="2:16" ht="16.5" x14ac:dyDescent="0.25">
      <c r="B7" s="1" t="s">
        <v>15</v>
      </c>
      <c r="C7" s="1">
        <v>9.0299999999999994</v>
      </c>
      <c r="D7" s="1">
        <v>904.58</v>
      </c>
      <c r="E7" s="1">
        <v>65.56</v>
      </c>
      <c r="F7" s="1">
        <v>1108.02</v>
      </c>
      <c r="G7" s="1">
        <v>6.89</v>
      </c>
      <c r="H7" s="1">
        <v>416.54</v>
      </c>
      <c r="I7" s="1">
        <v>29.6</v>
      </c>
      <c r="J7" s="1">
        <v>91.65</v>
      </c>
      <c r="K7" s="1">
        <v>14.8</v>
      </c>
      <c r="L7" s="22">
        <v>77.16</v>
      </c>
      <c r="M7" s="48">
        <v>5.84</v>
      </c>
      <c r="N7" s="48">
        <v>7.08</v>
      </c>
      <c r="O7" s="48">
        <v>4.41</v>
      </c>
      <c r="P7" s="48">
        <v>4.25</v>
      </c>
    </row>
    <row r="8" spans="2:16" ht="16.5" x14ac:dyDescent="0.25">
      <c r="B8" s="1" t="s">
        <v>16</v>
      </c>
      <c r="C8" s="1">
        <v>8.52</v>
      </c>
      <c r="D8" s="1">
        <v>814.26</v>
      </c>
      <c r="E8" s="1">
        <v>57.54</v>
      </c>
      <c r="F8" s="1">
        <v>1039.29</v>
      </c>
      <c r="G8" s="1">
        <v>6.17</v>
      </c>
      <c r="H8" s="1">
        <v>392.49</v>
      </c>
      <c r="I8" s="1">
        <v>29.66</v>
      </c>
      <c r="J8" s="1">
        <v>86.47</v>
      </c>
      <c r="K8" s="1">
        <v>13.78</v>
      </c>
      <c r="L8" s="22">
        <v>71.98</v>
      </c>
      <c r="M8" s="48">
        <v>5.92</v>
      </c>
      <c r="N8" s="48">
        <v>7.22</v>
      </c>
      <c r="O8" s="48">
        <v>3.98</v>
      </c>
      <c r="P8" s="48">
        <v>3.81</v>
      </c>
    </row>
    <row r="9" spans="2:16" ht="16.5" x14ac:dyDescent="0.25">
      <c r="B9" s="1" t="s">
        <v>17</v>
      </c>
      <c r="C9" s="1">
        <v>8.5500000000000007</v>
      </c>
      <c r="D9" s="1">
        <v>864.71</v>
      </c>
      <c r="E9" s="1">
        <v>61.25</v>
      </c>
      <c r="F9" s="1">
        <v>1043.69</v>
      </c>
      <c r="G9" s="1">
        <v>5.76</v>
      </c>
      <c r="H9" s="1">
        <v>389.5</v>
      </c>
      <c r="I9" s="1">
        <v>29.65</v>
      </c>
      <c r="J9" s="1">
        <v>86.05</v>
      </c>
      <c r="K9" s="1">
        <v>13.81</v>
      </c>
      <c r="L9" s="22">
        <v>72.25</v>
      </c>
      <c r="M9" s="48">
        <v>5.8</v>
      </c>
      <c r="N9" s="48">
        <v>7.33</v>
      </c>
      <c r="O9" s="48">
        <v>3.97</v>
      </c>
      <c r="P9" s="48">
        <v>3.81</v>
      </c>
    </row>
    <row r="10" spans="2:16" ht="16.5" customHeight="1" x14ac:dyDescent="0.25">
      <c r="B10" s="1" t="s">
        <v>18</v>
      </c>
      <c r="C10" s="1">
        <v>8.7200000000000006</v>
      </c>
      <c r="D10" s="1">
        <v>903.57</v>
      </c>
      <c r="E10" s="1">
        <v>63.01</v>
      </c>
      <c r="F10" s="1">
        <v>1070.01</v>
      </c>
      <c r="G10" s="1">
        <v>6.82</v>
      </c>
      <c r="H10" s="1">
        <v>400.89</v>
      </c>
      <c r="I10" s="1">
        <v>29.77</v>
      </c>
      <c r="J10" s="1">
        <v>87.38</v>
      </c>
      <c r="K10" s="1">
        <v>14.12</v>
      </c>
      <c r="L10" s="22">
        <v>72.739999999999995</v>
      </c>
      <c r="M10" s="48">
        <v>5.77</v>
      </c>
      <c r="N10" s="48">
        <v>7.36</v>
      </c>
      <c r="O10" s="48">
        <v>4.0999999999999996</v>
      </c>
      <c r="P10" s="48">
        <v>3.94</v>
      </c>
    </row>
    <row r="11" spans="2:16" ht="16.5" x14ac:dyDescent="0.25">
      <c r="B11" s="1" t="s">
        <v>19</v>
      </c>
      <c r="C11" s="1">
        <v>8.7799999999999994</v>
      </c>
      <c r="D11" s="1">
        <v>883.8</v>
      </c>
      <c r="E11" s="1">
        <v>60.62</v>
      </c>
      <c r="F11" s="1">
        <v>1078.82</v>
      </c>
      <c r="G11" s="1">
        <v>6.23</v>
      </c>
      <c r="H11" s="1">
        <v>398.48</v>
      </c>
      <c r="I11" s="1">
        <v>29.49</v>
      </c>
      <c r="J11" s="1">
        <v>89.39</v>
      </c>
      <c r="K11" s="1">
        <v>14.39</v>
      </c>
      <c r="L11" s="22">
        <v>74.28</v>
      </c>
      <c r="M11" s="48">
        <v>5.75</v>
      </c>
      <c r="N11" s="48">
        <v>7.16</v>
      </c>
      <c r="O11" s="48">
        <v>4.22</v>
      </c>
      <c r="P11" s="48">
        <v>4.03</v>
      </c>
    </row>
    <row r="12" spans="2:16" ht="16.5" x14ac:dyDescent="0.25">
      <c r="B12" s="1" t="s">
        <v>20</v>
      </c>
      <c r="C12" s="1">
        <v>8.74</v>
      </c>
      <c r="D12" s="1">
        <v>835.57</v>
      </c>
      <c r="E12" s="1">
        <v>62.48</v>
      </c>
      <c r="F12" s="1">
        <v>1074.6400000000001</v>
      </c>
      <c r="G12" s="1">
        <v>6.67</v>
      </c>
      <c r="H12" s="1">
        <v>400.98</v>
      </c>
      <c r="I12" s="1">
        <v>29.58</v>
      </c>
      <c r="J12" s="1">
        <v>89.82</v>
      </c>
      <c r="K12" s="1">
        <v>14.51</v>
      </c>
      <c r="L12" s="22">
        <v>75.239999999999995</v>
      </c>
      <c r="M12" s="48">
        <v>5.88</v>
      </c>
      <c r="N12" s="48">
        <v>7.24</v>
      </c>
      <c r="O12" s="48">
        <v>4.28</v>
      </c>
      <c r="P12" s="48">
        <v>4.12</v>
      </c>
    </row>
    <row r="13" spans="2:16" ht="17.25" customHeight="1" x14ac:dyDescent="0.25">
      <c r="B13" s="1" t="s">
        <v>21</v>
      </c>
      <c r="C13" s="1">
        <v>8.2100000000000009</v>
      </c>
      <c r="D13" s="1">
        <v>777.1</v>
      </c>
      <c r="E13" s="1">
        <v>57.83</v>
      </c>
      <c r="F13" s="1">
        <v>1004.44</v>
      </c>
      <c r="G13" s="1">
        <v>5.81</v>
      </c>
      <c r="H13" s="1">
        <v>375.91</v>
      </c>
      <c r="I13" s="1">
        <v>29.71</v>
      </c>
      <c r="J13" s="1">
        <v>83.62</v>
      </c>
      <c r="K13" s="1">
        <v>13.48</v>
      </c>
      <c r="L13" s="22">
        <v>69.34</v>
      </c>
      <c r="M13" s="48">
        <v>5.81</v>
      </c>
      <c r="N13" s="48">
        <v>7.19</v>
      </c>
      <c r="O13" s="48">
        <v>3.88</v>
      </c>
      <c r="P13" s="48">
        <v>3.72</v>
      </c>
    </row>
    <row r="14" spans="2:16" ht="18.75" customHeight="1" x14ac:dyDescent="0.25">
      <c r="B14" s="1" t="s">
        <v>22</v>
      </c>
      <c r="C14" s="1">
        <v>8.73</v>
      </c>
      <c r="D14" s="1">
        <v>913.15</v>
      </c>
      <c r="E14" s="1">
        <v>61.72</v>
      </c>
      <c r="F14" s="1">
        <v>1063.4100000000001</v>
      </c>
      <c r="G14" s="1">
        <v>6.57</v>
      </c>
      <c r="H14" s="1">
        <v>397.51</v>
      </c>
      <c r="I14" s="1">
        <v>30.06</v>
      </c>
      <c r="J14" s="1">
        <v>88.99</v>
      </c>
      <c r="K14" s="1">
        <v>14.3</v>
      </c>
      <c r="L14" s="22">
        <v>73.63</v>
      </c>
      <c r="M14" s="48">
        <v>5.9</v>
      </c>
      <c r="N14" s="48">
        <v>7.22</v>
      </c>
      <c r="O14" s="48">
        <v>4.05</v>
      </c>
      <c r="P14" s="48">
        <v>3.87</v>
      </c>
    </row>
    <row r="15" spans="2:16" ht="16.5" x14ac:dyDescent="0.25">
      <c r="B15" s="1" t="s">
        <v>23</v>
      </c>
      <c r="C15" s="1">
        <v>8.4499999999999993</v>
      </c>
      <c r="D15" s="1">
        <v>841.05</v>
      </c>
      <c r="E15" s="1">
        <v>59.95</v>
      </c>
      <c r="F15" s="1">
        <v>1027.3</v>
      </c>
      <c r="G15" s="1">
        <v>6.02</v>
      </c>
      <c r="H15" s="1">
        <v>385.02</v>
      </c>
      <c r="I15" s="1">
        <v>29.3</v>
      </c>
      <c r="J15" s="1">
        <v>86.91</v>
      </c>
      <c r="K15" s="1">
        <v>13.94</v>
      </c>
      <c r="L15" s="22">
        <v>72.62</v>
      </c>
      <c r="M15" s="48">
        <v>5.87</v>
      </c>
      <c r="N15" s="48">
        <v>6.95</v>
      </c>
      <c r="O15" s="48">
        <v>3.97</v>
      </c>
      <c r="P15" s="48">
        <v>3.8</v>
      </c>
    </row>
    <row r="16" spans="2:16" ht="16.5" x14ac:dyDescent="0.25">
      <c r="B16" s="1" t="s">
        <v>24</v>
      </c>
      <c r="C16" s="1">
        <v>8.57</v>
      </c>
      <c r="D16" s="1">
        <v>923.25</v>
      </c>
      <c r="E16" s="1">
        <v>62.1</v>
      </c>
      <c r="F16" s="1">
        <v>1047.3800000000001</v>
      </c>
      <c r="G16" s="1">
        <v>6.27</v>
      </c>
      <c r="H16" s="1">
        <v>391.08</v>
      </c>
      <c r="I16" s="1">
        <v>29.74</v>
      </c>
      <c r="J16" s="1">
        <v>87.04</v>
      </c>
      <c r="K16" s="1">
        <v>14.03</v>
      </c>
      <c r="L16" s="22">
        <v>72.47</v>
      </c>
      <c r="M16" s="48">
        <v>5.86</v>
      </c>
      <c r="N16" s="48">
        <v>7.09</v>
      </c>
      <c r="O16" s="48">
        <v>3.99</v>
      </c>
      <c r="P16" s="48">
        <v>3.83</v>
      </c>
    </row>
    <row r="17" spans="2:16" ht="16.5" x14ac:dyDescent="0.25">
      <c r="B17" s="1" t="s">
        <v>25</v>
      </c>
      <c r="C17" s="1">
        <v>8.23</v>
      </c>
      <c r="D17" s="1">
        <v>817.46</v>
      </c>
      <c r="E17" s="1">
        <v>60.14</v>
      </c>
      <c r="F17" s="1">
        <v>1007.9</v>
      </c>
      <c r="G17" s="1">
        <v>6.01</v>
      </c>
      <c r="H17" s="1">
        <v>381.68</v>
      </c>
      <c r="I17" s="1">
        <v>29.52</v>
      </c>
      <c r="J17" s="1">
        <v>84.97</v>
      </c>
      <c r="K17" s="1">
        <v>13.74</v>
      </c>
      <c r="L17" s="22">
        <v>71.040000000000006</v>
      </c>
      <c r="M17" s="48">
        <v>5.87</v>
      </c>
      <c r="N17" s="48">
        <v>7.01</v>
      </c>
      <c r="O17" s="48">
        <v>4.01</v>
      </c>
      <c r="P17" s="48">
        <v>3.86</v>
      </c>
    </row>
    <row r="18" spans="2:16" ht="16.5" x14ac:dyDescent="0.25">
      <c r="B18" s="1" t="s">
        <v>26</v>
      </c>
      <c r="C18" s="1">
        <v>8.32</v>
      </c>
      <c r="D18" s="1">
        <v>866.77</v>
      </c>
      <c r="E18" s="1">
        <v>58.73</v>
      </c>
      <c r="F18" s="1">
        <v>1012.03</v>
      </c>
      <c r="G18" s="1">
        <v>7.28</v>
      </c>
      <c r="H18" s="1">
        <v>386.38</v>
      </c>
      <c r="I18" s="1">
        <v>29.85</v>
      </c>
      <c r="J18" s="1">
        <v>85.44</v>
      </c>
      <c r="K18" s="1">
        <v>13.69</v>
      </c>
      <c r="L18" s="22">
        <v>70.58</v>
      </c>
      <c r="M18" s="48">
        <v>5.79</v>
      </c>
      <c r="N18" s="48">
        <v>7.24</v>
      </c>
      <c r="O18" s="48">
        <v>3.82</v>
      </c>
      <c r="P18" s="48">
        <v>3.66</v>
      </c>
    </row>
    <row r="19" spans="2:16" ht="16.5" x14ac:dyDescent="0.25">
      <c r="B19" s="1" t="s">
        <v>27</v>
      </c>
      <c r="C19" s="1">
        <v>8.01</v>
      </c>
      <c r="D19" s="1">
        <v>837.6</v>
      </c>
      <c r="E19" s="1">
        <v>57.79</v>
      </c>
      <c r="F19" s="1">
        <v>981.33</v>
      </c>
      <c r="G19" s="1">
        <v>5.99</v>
      </c>
      <c r="H19" s="1">
        <v>370.75</v>
      </c>
      <c r="I19" s="1">
        <v>29.73</v>
      </c>
      <c r="J19" s="1">
        <v>81.63</v>
      </c>
      <c r="K19" s="1">
        <v>13.19</v>
      </c>
      <c r="L19" s="22">
        <v>67.260000000000005</v>
      </c>
      <c r="M19" s="48">
        <v>5.98</v>
      </c>
      <c r="N19" s="48">
        <v>7.25</v>
      </c>
      <c r="O19" s="48">
        <v>3.76</v>
      </c>
      <c r="P19" s="48">
        <v>3.62</v>
      </c>
    </row>
    <row r="20" spans="2:16" ht="16.5" x14ac:dyDescent="0.25">
      <c r="B20" s="1" t="s">
        <v>28</v>
      </c>
      <c r="C20" s="1">
        <v>8.07</v>
      </c>
      <c r="D20" s="1">
        <v>802.22</v>
      </c>
      <c r="E20" s="1">
        <v>57.24</v>
      </c>
      <c r="F20" s="1">
        <v>987</v>
      </c>
      <c r="G20" s="1">
        <v>5.34</v>
      </c>
      <c r="H20" s="1">
        <v>372.6</v>
      </c>
      <c r="I20" s="1">
        <v>29.76</v>
      </c>
      <c r="J20" s="1">
        <v>82.09</v>
      </c>
      <c r="K20" s="1">
        <v>13.17</v>
      </c>
      <c r="L20" s="22">
        <v>67.260000000000005</v>
      </c>
      <c r="M20" s="48">
        <v>5.85</v>
      </c>
      <c r="N20" s="48">
        <v>7.09</v>
      </c>
      <c r="O20" s="48">
        <v>3.76</v>
      </c>
      <c r="P20" s="48">
        <v>3.62</v>
      </c>
    </row>
    <row r="21" spans="2:16" ht="16.5" x14ac:dyDescent="0.25">
      <c r="B21" s="1" t="s">
        <v>29</v>
      </c>
      <c r="C21" s="1">
        <v>8.51</v>
      </c>
      <c r="D21" s="1">
        <v>814.26</v>
      </c>
      <c r="E21" s="1">
        <v>58.66</v>
      </c>
      <c r="F21" s="1">
        <v>1042.73</v>
      </c>
      <c r="G21" s="1">
        <v>6.4</v>
      </c>
      <c r="H21" s="1">
        <v>391.63</v>
      </c>
      <c r="I21" s="1">
        <v>29.29</v>
      </c>
      <c r="J21" s="1">
        <v>85.97</v>
      </c>
      <c r="K21" s="1">
        <v>13.81</v>
      </c>
      <c r="L21" s="22">
        <v>71.66</v>
      </c>
      <c r="M21" s="48">
        <v>5.84</v>
      </c>
      <c r="N21" s="48">
        <v>7.19</v>
      </c>
      <c r="O21" s="48">
        <v>3.99</v>
      </c>
      <c r="P21" s="48">
        <v>3.82</v>
      </c>
    </row>
    <row r="22" spans="2:16" ht="16.5" x14ac:dyDescent="0.25">
      <c r="B22" s="1" t="s">
        <v>30</v>
      </c>
      <c r="C22" s="1">
        <v>8.06</v>
      </c>
      <c r="D22" s="1">
        <v>771.5</v>
      </c>
      <c r="E22" s="1">
        <v>55.73</v>
      </c>
      <c r="F22" s="1">
        <v>978.41</v>
      </c>
      <c r="G22" s="1">
        <v>7.36</v>
      </c>
      <c r="H22" s="1">
        <v>377.38</v>
      </c>
      <c r="I22" s="1">
        <v>29.06</v>
      </c>
      <c r="J22" s="1">
        <v>81.25</v>
      </c>
      <c r="K22" s="1">
        <v>13</v>
      </c>
      <c r="L22" s="22">
        <v>67.989999999999995</v>
      </c>
      <c r="M22" s="48">
        <v>5.84</v>
      </c>
      <c r="N22" s="48">
        <v>7.13</v>
      </c>
      <c r="O22" s="48">
        <v>3.73</v>
      </c>
      <c r="P22" s="48">
        <v>3.59</v>
      </c>
    </row>
    <row r="23" spans="2:16" ht="16.5" x14ac:dyDescent="0.25">
      <c r="B23" s="1" t="s">
        <v>31</v>
      </c>
      <c r="C23" s="1">
        <v>7.8</v>
      </c>
      <c r="D23" s="1">
        <v>763.14</v>
      </c>
      <c r="E23" s="1">
        <v>55.36</v>
      </c>
      <c r="F23" s="1">
        <v>956.9</v>
      </c>
      <c r="G23" s="1">
        <v>5.44</v>
      </c>
      <c r="H23" s="1">
        <v>361.79</v>
      </c>
      <c r="I23" s="1">
        <v>29.28</v>
      </c>
      <c r="J23" s="1">
        <v>80.17</v>
      </c>
      <c r="K23" s="1">
        <v>12.92</v>
      </c>
      <c r="L23" s="22">
        <v>67.150000000000006</v>
      </c>
      <c r="M23" s="48">
        <v>5.87</v>
      </c>
      <c r="N23" s="48">
        <v>7.23</v>
      </c>
      <c r="O23" s="48">
        <v>3.82</v>
      </c>
      <c r="P23" s="48">
        <v>3.66</v>
      </c>
    </row>
    <row r="24" spans="2:16" ht="16.5" x14ac:dyDescent="0.25">
      <c r="B24" s="1" t="s">
        <v>32</v>
      </c>
      <c r="C24" s="1">
        <v>8.74</v>
      </c>
      <c r="D24" s="1">
        <v>868.87</v>
      </c>
      <c r="E24" s="1">
        <v>60.41</v>
      </c>
      <c r="F24" s="1">
        <v>1064.9000000000001</v>
      </c>
      <c r="G24" s="1">
        <v>6.17</v>
      </c>
      <c r="H24" s="1">
        <v>399.62</v>
      </c>
      <c r="I24" s="1">
        <v>29.59</v>
      </c>
      <c r="J24" s="1">
        <v>89.79</v>
      </c>
      <c r="K24" s="1">
        <v>14.42</v>
      </c>
      <c r="L24" s="22">
        <v>75.81</v>
      </c>
      <c r="M24" s="48">
        <v>5.93</v>
      </c>
      <c r="N24" s="48">
        <v>6.95</v>
      </c>
      <c r="O24" s="48">
        <v>4.1900000000000004</v>
      </c>
      <c r="P24" s="48">
        <v>4.0199999999999996</v>
      </c>
    </row>
    <row r="25" spans="2:16" ht="16.5" x14ac:dyDescent="0.25">
      <c r="B25" s="1" t="s">
        <v>33</v>
      </c>
      <c r="C25" s="1">
        <v>8.4</v>
      </c>
      <c r="D25" s="1">
        <v>773.26</v>
      </c>
      <c r="E25" s="1">
        <v>58.46</v>
      </c>
      <c r="F25" s="1">
        <v>1031.02</v>
      </c>
      <c r="G25" s="1">
        <v>6.61</v>
      </c>
      <c r="H25" s="1">
        <v>389.1</v>
      </c>
      <c r="I25" s="1">
        <v>28.94</v>
      </c>
      <c r="J25" s="1">
        <v>83.99</v>
      </c>
      <c r="K25" s="1">
        <v>13.49</v>
      </c>
      <c r="L25" s="22">
        <v>69.45</v>
      </c>
      <c r="M25" s="48">
        <v>5.78</v>
      </c>
      <c r="N25" s="48">
        <v>7.4</v>
      </c>
      <c r="O25" s="48">
        <v>3.96</v>
      </c>
      <c r="P25" s="48">
        <v>3.8</v>
      </c>
    </row>
    <row r="26" spans="2:16" ht="16.5" x14ac:dyDescent="0.25">
      <c r="B26" s="1" t="s">
        <v>34</v>
      </c>
      <c r="C26" s="1">
        <v>8.31</v>
      </c>
      <c r="D26" s="1">
        <v>795.59</v>
      </c>
      <c r="E26" s="1">
        <v>56.75</v>
      </c>
      <c r="F26" s="1">
        <v>1018.24</v>
      </c>
      <c r="G26" s="1">
        <v>6.35</v>
      </c>
      <c r="H26" s="1">
        <v>381.36</v>
      </c>
      <c r="I26" s="1">
        <v>29.26</v>
      </c>
      <c r="J26" s="1">
        <v>85.47</v>
      </c>
      <c r="K26" s="1">
        <v>13.73</v>
      </c>
      <c r="L26" s="22">
        <v>71.180000000000007</v>
      </c>
      <c r="M26" s="48">
        <v>5.82</v>
      </c>
      <c r="N26" s="48">
        <v>7.06</v>
      </c>
      <c r="O26" s="48">
        <v>3.96</v>
      </c>
      <c r="P26" s="48">
        <v>3.81</v>
      </c>
    </row>
    <row r="27" spans="2:16" ht="16.5" x14ac:dyDescent="0.25">
      <c r="B27" s="1" t="s">
        <v>35</v>
      </c>
      <c r="C27" s="1">
        <v>8.67</v>
      </c>
      <c r="D27" s="1">
        <v>829.22</v>
      </c>
      <c r="E27" s="1">
        <v>60.72</v>
      </c>
      <c r="F27" s="1">
        <v>1059.8499999999999</v>
      </c>
      <c r="G27" s="1">
        <v>6.08</v>
      </c>
      <c r="H27" s="1">
        <v>392.44</v>
      </c>
      <c r="I27" s="1">
        <v>29.46</v>
      </c>
      <c r="J27" s="1">
        <v>89.16</v>
      </c>
      <c r="K27" s="1">
        <v>14.2</v>
      </c>
      <c r="L27" s="22">
        <v>74.3</v>
      </c>
      <c r="M27" s="48">
        <v>5.8</v>
      </c>
      <c r="N27" s="48">
        <v>7.26</v>
      </c>
      <c r="O27" s="48">
        <v>4.09</v>
      </c>
      <c r="P27" s="48">
        <v>3.93</v>
      </c>
    </row>
    <row r="28" spans="2:16" ht="16.5" x14ac:dyDescent="0.25">
      <c r="B28" s="1" t="s">
        <v>36</v>
      </c>
      <c r="C28" s="1">
        <v>8.5399999999999991</v>
      </c>
      <c r="D28" s="1">
        <v>824.81</v>
      </c>
      <c r="E28" s="1">
        <v>60.9</v>
      </c>
      <c r="F28" s="1">
        <v>1040.6099999999999</v>
      </c>
      <c r="G28" s="1">
        <v>5.78</v>
      </c>
      <c r="H28" s="1">
        <v>392.04</v>
      </c>
      <c r="I28" s="1">
        <v>29.79</v>
      </c>
      <c r="J28" s="1">
        <v>87.42</v>
      </c>
      <c r="K28" s="1">
        <v>14.09</v>
      </c>
      <c r="L28" s="22">
        <v>73.38</v>
      </c>
      <c r="M28" s="48">
        <v>5.9</v>
      </c>
      <c r="N28" s="48">
        <v>7.14</v>
      </c>
      <c r="O28" s="48">
        <v>4.0999999999999996</v>
      </c>
      <c r="P28" s="48">
        <v>3.94</v>
      </c>
    </row>
    <row r="29" spans="2:16" ht="16.5" x14ac:dyDescent="0.25">
      <c r="B29" s="1" t="s">
        <v>37</v>
      </c>
      <c r="C29" s="1">
        <v>9.11</v>
      </c>
      <c r="D29" s="1">
        <v>967.37</v>
      </c>
      <c r="E29" s="1">
        <v>67.489999999999995</v>
      </c>
      <c r="F29" s="1">
        <v>1118.3900000000001</v>
      </c>
      <c r="G29" s="1">
        <v>5.68</v>
      </c>
      <c r="H29" s="1">
        <v>412.23</v>
      </c>
      <c r="I29" s="1">
        <v>29.48</v>
      </c>
      <c r="J29" s="1">
        <v>93.31</v>
      </c>
      <c r="K29" s="1">
        <v>15</v>
      </c>
      <c r="L29" s="22">
        <v>79.06</v>
      </c>
      <c r="M29" s="48">
        <v>5.74</v>
      </c>
      <c r="N29" s="48">
        <v>7.2</v>
      </c>
      <c r="O29" s="48">
        <v>4.33</v>
      </c>
      <c r="P29" s="48">
        <v>4.16</v>
      </c>
    </row>
    <row r="30" spans="2:16" ht="16.5" x14ac:dyDescent="0.25">
      <c r="B30" s="1" t="s">
        <v>38</v>
      </c>
      <c r="C30" s="1">
        <v>8.6199999999999992</v>
      </c>
      <c r="D30" s="1">
        <v>754.18</v>
      </c>
      <c r="E30" s="1">
        <v>57.94</v>
      </c>
      <c r="F30" s="1">
        <v>1045.55</v>
      </c>
      <c r="G30" s="1">
        <v>5.99</v>
      </c>
      <c r="H30" s="1">
        <v>393</v>
      </c>
      <c r="I30" s="1">
        <v>29.3</v>
      </c>
      <c r="J30" s="1">
        <v>89.78</v>
      </c>
      <c r="K30" s="1">
        <v>14.3</v>
      </c>
      <c r="L30" s="22">
        <v>74.73</v>
      </c>
      <c r="M30" s="48">
        <v>5.81</v>
      </c>
      <c r="N30" s="48">
        <v>6.89</v>
      </c>
      <c r="O30" s="48">
        <v>4.1399999999999997</v>
      </c>
      <c r="P30" s="48">
        <v>3.98</v>
      </c>
    </row>
    <row r="31" spans="2:16" ht="16.5" x14ac:dyDescent="0.25">
      <c r="B31" s="1" t="s">
        <v>39</v>
      </c>
      <c r="C31" s="1">
        <v>8.3699999999999992</v>
      </c>
      <c r="D31" s="1">
        <v>750.49</v>
      </c>
      <c r="E31" s="1">
        <v>58.07</v>
      </c>
      <c r="F31" s="1">
        <v>1024.2</v>
      </c>
      <c r="G31" s="1">
        <v>5.32</v>
      </c>
      <c r="H31" s="1">
        <v>390.71</v>
      </c>
      <c r="I31" s="1">
        <v>29.33</v>
      </c>
      <c r="J31" s="1">
        <v>86.12</v>
      </c>
      <c r="K31" s="1">
        <v>13.88</v>
      </c>
      <c r="L31" s="22">
        <v>72.489999999999995</v>
      </c>
      <c r="M31" s="48">
        <v>5.85</v>
      </c>
      <c r="N31" s="48">
        <v>7.1</v>
      </c>
      <c r="O31" s="48">
        <v>4.2699999999999996</v>
      </c>
      <c r="P31" s="48">
        <v>4.0999999999999996</v>
      </c>
    </row>
    <row r="32" spans="2:16" ht="16.5" x14ac:dyDescent="0.25">
      <c r="B32" s="1" t="s">
        <v>40</v>
      </c>
      <c r="C32" s="1">
        <v>8.25</v>
      </c>
      <c r="D32" s="1">
        <v>841.53</v>
      </c>
      <c r="E32" s="1">
        <v>58.22</v>
      </c>
      <c r="F32" s="1">
        <v>1008.76</v>
      </c>
      <c r="G32" s="1">
        <v>5</v>
      </c>
      <c r="H32" s="1">
        <v>377.71</v>
      </c>
      <c r="I32" s="1">
        <v>29.89</v>
      </c>
      <c r="J32" s="1">
        <v>85.1</v>
      </c>
      <c r="K32" s="1">
        <v>13.64</v>
      </c>
      <c r="L32" s="22">
        <v>70.849999999999994</v>
      </c>
      <c r="M32" s="48">
        <v>5.84</v>
      </c>
      <c r="N32" s="48">
        <v>7.15</v>
      </c>
      <c r="O32" s="48">
        <v>3.92</v>
      </c>
      <c r="P32" s="48">
        <v>3.75</v>
      </c>
    </row>
    <row r="39" spans="6:9" x14ac:dyDescent="0.25">
      <c r="F39" s="5"/>
      <c r="G39" s="5"/>
      <c r="H39" s="5"/>
      <c r="I39" s="5"/>
    </row>
    <row r="40" spans="6:9" x14ac:dyDescent="0.25">
      <c r="F40" s="12"/>
      <c r="G40" s="7"/>
      <c r="I40" s="8"/>
    </row>
    <row r="41" spans="6:9" x14ac:dyDescent="0.25">
      <c r="F41" s="12"/>
      <c r="G41" s="7"/>
      <c r="I41" s="8"/>
    </row>
    <row r="42" spans="6:9" x14ac:dyDescent="0.25">
      <c r="F42" s="12"/>
      <c r="G42" s="7"/>
      <c r="I42" s="8"/>
    </row>
    <row r="43" spans="6:9" x14ac:dyDescent="0.25">
      <c r="F43" s="13"/>
    </row>
    <row r="44" spans="6:9" x14ac:dyDescent="0.25">
      <c r="F44" s="5"/>
      <c r="G44" s="5"/>
      <c r="H44" s="5"/>
      <c r="I44" s="5"/>
    </row>
    <row r="45" spans="6:9" x14ac:dyDescent="0.25">
      <c r="F45" s="12"/>
      <c r="G45" s="8"/>
      <c r="I45" s="8"/>
    </row>
    <row r="46" spans="6:9" x14ac:dyDescent="0.25">
      <c r="F46" s="12"/>
      <c r="G46" s="8"/>
      <c r="I46" s="8"/>
    </row>
    <row r="47" spans="6:9" x14ac:dyDescent="0.25">
      <c r="F47" s="12"/>
      <c r="G47" s="8"/>
      <c r="I47" s="8"/>
    </row>
    <row r="48" spans="6:9" x14ac:dyDescent="0.25">
      <c r="F48" s="12"/>
      <c r="G48" s="8"/>
      <c r="I48" s="8"/>
    </row>
    <row r="51" spans="6:9" x14ac:dyDescent="0.25">
      <c r="F51" s="4"/>
    </row>
    <row r="52" spans="6:9" x14ac:dyDescent="0.25">
      <c r="F52" s="5"/>
      <c r="G52" s="5"/>
      <c r="H52" s="5"/>
      <c r="I52" s="5"/>
    </row>
    <row r="53" spans="6:9" x14ac:dyDescent="0.25">
      <c r="F53" s="6"/>
      <c r="G53" s="7"/>
      <c r="H53" s="8"/>
      <c r="I53" s="8"/>
    </row>
    <row r="54" spans="6:9" x14ac:dyDescent="0.25">
      <c r="F54" s="6"/>
      <c r="G54" s="7"/>
      <c r="H54" s="8"/>
      <c r="I54" s="8"/>
    </row>
    <row r="55" spans="6:9" x14ac:dyDescent="0.25">
      <c r="F55" s="6"/>
      <c r="G55" s="9"/>
      <c r="H55" s="8"/>
      <c r="I55" s="8"/>
    </row>
    <row r="56" spans="6:9" x14ac:dyDescent="0.25">
      <c r="F56" s="6"/>
      <c r="G56" s="7"/>
      <c r="H56" s="7"/>
      <c r="I56" s="8"/>
    </row>
    <row r="57" spans="6:9" x14ac:dyDescent="0.25">
      <c r="F57" s="6"/>
      <c r="G57" s="9"/>
      <c r="H57" s="8"/>
      <c r="I57" s="8"/>
    </row>
    <row r="58" spans="6:9" x14ac:dyDescent="0.25">
      <c r="F58" s="10"/>
      <c r="G58" s="11"/>
      <c r="H58" s="11"/>
      <c r="I58" s="11"/>
    </row>
    <row r="59" spans="6:9" x14ac:dyDescent="0.25">
      <c r="F59" s="6"/>
      <c r="G59" s="7"/>
      <c r="H59" s="8"/>
      <c r="I59" s="8"/>
    </row>
    <row r="60" spans="6:9" x14ac:dyDescent="0.25">
      <c r="F60" s="6"/>
      <c r="G60" s="7"/>
      <c r="H60" s="7"/>
      <c r="I60" s="7"/>
    </row>
    <row r="61" spans="6:9" x14ac:dyDescent="0.25">
      <c r="F61" s="6"/>
      <c r="G61" s="7"/>
      <c r="H61" s="7"/>
      <c r="I61" s="8"/>
    </row>
    <row r="62" spans="6:9" x14ac:dyDescent="0.25">
      <c r="F62" s="6"/>
      <c r="G62" s="7"/>
      <c r="H62" s="8"/>
      <c r="I62" s="8"/>
    </row>
    <row r="63" spans="6:9" x14ac:dyDescent="0.25">
      <c r="F63" s="6"/>
      <c r="G63" s="7"/>
      <c r="H63" s="8"/>
      <c r="I63" s="8"/>
    </row>
  </sheetData>
  <conditionalFormatting sqref="J3:J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51" priority="31" aboveAverage="0"/>
    <cfRule type="aboveAverage" dxfId="50" priority="32"/>
  </conditionalFormatting>
  <conditionalFormatting sqref="K3:K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49" priority="29" aboveAverage="0"/>
    <cfRule type="aboveAverage" dxfId="48" priority="30"/>
  </conditionalFormatting>
  <conditionalFormatting sqref="L3:L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47" priority="27" aboveAverage="0"/>
    <cfRule type="aboveAverage" dxfId="46" priority="28"/>
  </conditionalFormatting>
  <conditionalFormatting sqref="C3:C3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" priority="48" operator="lessThan">
      <formula>#REF!</formula>
    </cfRule>
    <cfRule type="cellIs" dxfId="44" priority="49" operator="greaterThan">
      <formula>#REF!</formula>
    </cfRule>
  </conditionalFormatting>
  <conditionalFormatting sqref="D3:D3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" priority="51" operator="lessThan">
      <formula>#REF!</formula>
    </cfRule>
    <cfRule type="cellIs" dxfId="42" priority="52" operator="greaterThan">
      <formula>#REF!</formula>
    </cfRule>
  </conditionalFormatting>
  <conditionalFormatting sqref="E3:E3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" priority="54" operator="lessThan">
      <formula>#REF!</formula>
    </cfRule>
    <cfRule type="cellIs" dxfId="40" priority="55" operator="greaterThan">
      <formula>#REF!</formula>
    </cfRule>
  </conditionalFormatting>
  <conditionalFormatting sqref="F3:F32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" priority="57" operator="lessThan">
      <formula>#REF!</formula>
    </cfRule>
    <cfRule type="cellIs" dxfId="38" priority="58" operator="greaterThan">
      <formula>#REF!</formula>
    </cfRule>
  </conditionalFormatting>
  <conditionalFormatting sqref="G3:G3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" priority="60" operator="lessThan">
      <formula>#REF!</formula>
    </cfRule>
    <cfRule type="cellIs" dxfId="36" priority="61" operator="greaterThan">
      <formula>#REF!</formula>
    </cfRule>
  </conditionalFormatting>
  <conditionalFormatting sqref="H3:H3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" priority="63" operator="lessThan">
      <formula>#REF!</formula>
    </cfRule>
    <cfRule type="cellIs" dxfId="34" priority="64" operator="greaterThan">
      <formula>#REF!</formula>
    </cfRule>
  </conditionalFormatting>
  <conditionalFormatting sqref="I3:I3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" priority="66" operator="lessThan">
      <formula>#REF!</formula>
    </cfRule>
    <cfRule type="cellIs" dxfId="32" priority="67" operator="greaterThan">
      <formula>#REF!</formula>
    </cfRule>
  </conditionalFormatting>
  <conditionalFormatting sqref="M3:M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15" priority="11" aboveAverage="0"/>
    <cfRule type="aboveAverage" dxfId="14" priority="12"/>
  </conditionalFormatting>
  <conditionalFormatting sqref="N3:N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13" priority="9" aboveAverage="0"/>
    <cfRule type="aboveAverage" dxfId="12" priority="10"/>
  </conditionalFormatting>
  <conditionalFormatting sqref="O3:O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11" priority="7" aboveAverage="0"/>
    <cfRule type="aboveAverage" dxfId="10" priority="8"/>
  </conditionalFormatting>
  <conditionalFormatting sqref="P3:P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9" priority="5" aboveAverage="0"/>
    <cfRule type="aboveAverage" dxfId="8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0319-63DB-42C3-8251-FCADA2AF12D7}">
  <dimension ref="B2:N44"/>
  <sheetViews>
    <sheetView tabSelected="1" topLeftCell="A25" workbookViewId="0">
      <selection activeCell="P35" sqref="P35"/>
    </sheetView>
  </sheetViews>
  <sheetFormatPr defaultRowHeight="15" x14ac:dyDescent="0.25"/>
  <cols>
    <col min="2" max="2" width="29.7109375" customWidth="1"/>
    <col min="8" max="8" width="13.5703125" customWidth="1"/>
    <col min="9" max="9" width="8.7109375" customWidth="1"/>
    <col min="10" max="10" width="6.140625" customWidth="1"/>
    <col min="11" max="11" width="25.140625" customWidth="1"/>
  </cols>
  <sheetData>
    <row r="2" spans="2:14" ht="15" customHeight="1" x14ac:dyDescent="0.25">
      <c r="B2" s="16" t="s">
        <v>41</v>
      </c>
      <c r="C2" s="16" t="s">
        <v>42</v>
      </c>
      <c r="D2" s="16" t="s">
        <v>43</v>
      </c>
      <c r="E2" s="17"/>
      <c r="K2" s="21" t="s">
        <v>41</v>
      </c>
      <c r="L2" s="25" t="s">
        <v>60</v>
      </c>
      <c r="M2" s="26" t="s">
        <v>61</v>
      </c>
      <c r="N2" s="27" t="s">
        <v>62</v>
      </c>
    </row>
    <row r="3" spans="2:14" ht="15" customHeight="1" x14ac:dyDescent="0.25">
      <c r="B3" s="18" t="s">
        <v>44</v>
      </c>
      <c r="C3" s="18">
        <v>30</v>
      </c>
      <c r="D3" s="18">
        <v>29</v>
      </c>
      <c r="E3" s="19">
        <f t="shared" ref="E3:E19" si="0">C3/D3*100</f>
        <v>103.44827586206897</v>
      </c>
      <c r="K3" s="1" t="s">
        <v>44</v>
      </c>
      <c r="L3" s="22">
        <v>29</v>
      </c>
      <c r="M3" s="23">
        <v>30</v>
      </c>
      <c r="N3" s="24">
        <f>ROUND((L3/M3)*100,2)</f>
        <v>96.67</v>
      </c>
    </row>
    <row r="4" spans="2:14" ht="15" customHeight="1" x14ac:dyDescent="0.25">
      <c r="B4" s="18" t="s">
        <v>45</v>
      </c>
      <c r="C4" s="18">
        <v>28</v>
      </c>
      <c r="D4" s="18">
        <v>32</v>
      </c>
      <c r="E4" s="19">
        <f t="shared" si="0"/>
        <v>87.5</v>
      </c>
      <c r="K4" s="1" t="s">
        <v>50</v>
      </c>
      <c r="L4" s="22">
        <v>29</v>
      </c>
      <c r="M4" s="23">
        <v>30</v>
      </c>
      <c r="N4" s="24">
        <f t="shared" ref="N4:N18" si="1">ROUND((L4/M4)*100,2)</f>
        <v>96.67</v>
      </c>
    </row>
    <row r="5" spans="2:14" ht="15" customHeight="1" x14ac:dyDescent="0.25">
      <c r="B5" s="18" t="s">
        <v>46</v>
      </c>
      <c r="C5" s="18">
        <v>27</v>
      </c>
      <c r="D5" s="18">
        <v>37</v>
      </c>
      <c r="E5" s="19">
        <f t="shared" si="0"/>
        <v>72.972972972972968</v>
      </c>
      <c r="K5" s="1" t="s">
        <v>48</v>
      </c>
      <c r="L5" s="22">
        <v>28</v>
      </c>
      <c r="M5" s="23">
        <v>30</v>
      </c>
      <c r="N5" s="24">
        <f t="shared" si="1"/>
        <v>93.33</v>
      </c>
    </row>
    <row r="6" spans="2:14" ht="15" customHeight="1" x14ac:dyDescent="0.25">
      <c r="B6" s="18" t="s">
        <v>47</v>
      </c>
      <c r="C6" s="18">
        <v>27</v>
      </c>
      <c r="D6" s="18">
        <v>32</v>
      </c>
      <c r="E6" s="19">
        <f t="shared" si="0"/>
        <v>84.375</v>
      </c>
      <c r="K6" s="1" t="s">
        <v>56</v>
      </c>
      <c r="L6" s="22">
        <v>28</v>
      </c>
      <c r="M6" s="23">
        <v>30</v>
      </c>
      <c r="N6" s="24">
        <f t="shared" si="1"/>
        <v>93.33</v>
      </c>
    </row>
    <row r="7" spans="2:14" ht="15" customHeight="1" x14ac:dyDescent="0.25">
      <c r="B7" s="18" t="s">
        <v>48</v>
      </c>
      <c r="C7" s="18">
        <v>27</v>
      </c>
      <c r="D7" s="18">
        <v>32</v>
      </c>
      <c r="E7" s="19">
        <f t="shared" si="0"/>
        <v>84.375</v>
      </c>
      <c r="K7" s="1" t="s">
        <v>49</v>
      </c>
      <c r="L7" s="22">
        <v>27</v>
      </c>
      <c r="M7" s="23">
        <v>30</v>
      </c>
      <c r="N7" s="24">
        <f t="shared" si="1"/>
        <v>90</v>
      </c>
    </row>
    <row r="8" spans="2:14" ht="15" customHeight="1" x14ac:dyDescent="0.25">
      <c r="B8" s="18" t="s">
        <v>49</v>
      </c>
      <c r="C8" s="18">
        <v>26</v>
      </c>
      <c r="D8" s="18">
        <v>30</v>
      </c>
      <c r="E8" s="19">
        <f t="shared" si="0"/>
        <v>86.666666666666671</v>
      </c>
      <c r="K8" s="1" t="s">
        <v>55</v>
      </c>
      <c r="L8" s="22">
        <v>27</v>
      </c>
      <c r="M8" s="23">
        <v>30</v>
      </c>
      <c r="N8" s="24">
        <f t="shared" si="1"/>
        <v>90</v>
      </c>
    </row>
    <row r="9" spans="2:14" ht="15" customHeight="1" x14ac:dyDescent="0.25">
      <c r="B9" s="18" t="s">
        <v>50</v>
      </c>
      <c r="C9" s="18">
        <v>26</v>
      </c>
      <c r="D9" s="18">
        <v>34</v>
      </c>
      <c r="E9" s="19">
        <f t="shared" si="0"/>
        <v>76.470588235294116</v>
      </c>
      <c r="K9" s="1" t="s">
        <v>46</v>
      </c>
      <c r="L9" s="22">
        <v>27</v>
      </c>
      <c r="M9" s="23">
        <v>30</v>
      </c>
      <c r="N9" s="24">
        <f t="shared" si="1"/>
        <v>90</v>
      </c>
    </row>
    <row r="10" spans="2:14" ht="15" customHeight="1" x14ac:dyDescent="0.25">
      <c r="B10" s="18" t="s">
        <v>51</v>
      </c>
      <c r="C10" s="18">
        <v>25</v>
      </c>
      <c r="D10" s="18">
        <v>33</v>
      </c>
      <c r="E10" s="19">
        <f t="shared" si="0"/>
        <v>75.757575757575751</v>
      </c>
      <c r="K10" s="1" t="s">
        <v>51</v>
      </c>
      <c r="L10" s="22">
        <v>26</v>
      </c>
      <c r="M10" s="23">
        <v>30</v>
      </c>
      <c r="N10" s="24">
        <f t="shared" si="1"/>
        <v>86.67</v>
      </c>
    </row>
    <row r="11" spans="2:14" ht="15" customHeight="1" x14ac:dyDescent="0.25">
      <c r="B11" s="18" t="s">
        <v>52</v>
      </c>
      <c r="C11" s="18">
        <v>25</v>
      </c>
      <c r="D11" s="18">
        <v>31</v>
      </c>
      <c r="E11" s="19">
        <f t="shared" si="0"/>
        <v>80.645161290322577</v>
      </c>
      <c r="K11" s="1" t="s">
        <v>52</v>
      </c>
      <c r="L11" s="22">
        <v>25</v>
      </c>
      <c r="M11" s="23">
        <v>30</v>
      </c>
      <c r="N11" s="24">
        <f t="shared" si="1"/>
        <v>83.33</v>
      </c>
    </row>
    <row r="12" spans="2:14" ht="15" customHeight="1" x14ac:dyDescent="0.25">
      <c r="B12" s="18" t="s">
        <v>53</v>
      </c>
      <c r="C12" s="18">
        <v>24</v>
      </c>
      <c r="D12" s="18">
        <v>28</v>
      </c>
      <c r="E12" s="19">
        <f t="shared" si="0"/>
        <v>85.714285714285708</v>
      </c>
      <c r="K12" s="1" t="s">
        <v>53</v>
      </c>
      <c r="L12" s="22">
        <v>25</v>
      </c>
      <c r="M12" s="23">
        <v>30</v>
      </c>
      <c r="N12" s="24">
        <f t="shared" si="1"/>
        <v>83.33</v>
      </c>
    </row>
    <row r="13" spans="2:14" ht="15" customHeight="1" x14ac:dyDescent="0.25">
      <c r="B13" s="18" t="s">
        <v>54</v>
      </c>
      <c r="C13" s="18">
        <v>24</v>
      </c>
      <c r="D13" s="18">
        <v>31</v>
      </c>
      <c r="E13" s="19">
        <f t="shared" si="0"/>
        <v>77.41935483870968</v>
      </c>
      <c r="K13" s="1" t="s">
        <v>54</v>
      </c>
      <c r="L13" s="22">
        <v>24</v>
      </c>
      <c r="M13" s="23">
        <v>30</v>
      </c>
      <c r="N13" s="24">
        <f t="shared" si="1"/>
        <v>80</v>
      </c>
    </row>
    <row r="14" spans="2:14" ht="15" customHeight="1" x14ac:dyDescent="0.25">
      <c r="B14" s="18" t="s">
        <v>55</v>
      </c>
      <c r="C14" s="18">
        <v>23</v>
      </c>
      <c r="D14" s="18">
        <v>30</v>
      </c>
      <c r="E14" s="19">
        <f t="shared" si="0"/>
        <v>76.666666666666671</v>
      </c>
      <c r="K14" s="1" t="s">
        <v>45</v>
      </c>
      <c r="L14" s="22">
        <v>23</v>
      </c>
      <c r="M14" s="23">
        <v>30</v>
      </c>
      <c r="N14" s="24">
        <f t="shared" si="1"/>
        <v>76.67</v>
      </c>
    </row>
    <row r="15" spans="2:14" ht="15" customHeight="1" x14ac:dyDescent="0.25">
      <c r="B15" s="18" t="s">
        <v>56</v>
      </c>
      <c r="C15" s="18">
        <v>21</v>
      </c>
      <c r="D15" s="18">
        <v>26</v>
      </c>
      <c r="E15" s="19">
        <f t="shared" si="0"/>
        <v>80.769230769230774</v>
      </c>
      <c r="K15" s="1" t="s">
        <v>47</v>
      </c>
      <c r="L15" s="22">
        <v>19</v>
      </c>
      <c r="M15" s="23">
        <v>30</v>
      </c>
      <c r="N15" s="24">
        <f t="shared" si="1"/>
        <v>63.33</v>
      </c>
    </row>
    <row r="16" spans="2:14" ht="15" customHeight="1" x14ac:dyDescent="0.25">
      <c r="B16" s="18" t="s">
        <v>57</v>
      </c>
      <c r="C16" s="18">
        <v>20</v>
      </c>
      <c r="D16" s="18">
        <v>37</v>
      </c>
      <c r="E16" s="19">
        <f t="shared" si="0"/>
        <v>54.054054054054056</v>
      </c>
      <c r="K16" s="1" t="s">
        <v>59</v>
      </c>
      <c r="L16" s="22">
        <v>15</v>
      </c>
      <c r="M16" s="23">
        <v>30</v>
      </c>
      <c r="N16" s="24">
        <f t="shared" si="1"/>
        <v>50</v>
      </c>
    </row>
    <row r="17" spans="2:14" ht="15" customHeight="1" x14ac:dyDescent="0.25">
      <c r="B17" s="18" t="s">
        <v>58</v>
      </c>
      <c r="C17" s="18">
        <v>17</v>
      </c>
      <c r="D17" s="18">
        <v>31</v>
      </c>
      <c r="E17" s="19">
        <f t="shared" si="0"/>
        <v>54.838709677419352</v>
      </c>
      <c r="K17" s="1" t="s">
        <v>57</v>
      </c>
      <c r="L17" s="22">
        <v>11</v>
      </c>
      <c r="M17" s="23">
        <v>30</v>
      </c>
      <c r="N17" s="24">
        <f t="shared" si="1"/>
        <v>36.67</v>
      </c>
    </row>
    <row r="18" spans="2:14" ht="15" customHeight="1" x14ac:dyDescent="0.25">
      <c r="B18" s="18" t="s">
        <v>59</v>
      </c>
      <c r="C18" s="18">
        <v>17</v>
      </c>
      <c r="D18" s="18">
        <v>34</v>
      </c>
      <c r="E18" s="19">
        <f t="shared" si="0"/>
        <v>50</v>
      </c>
      <c r="K18" s="1" t="s">
        <v>58</v>
      </c>
      <c r="L18" s="22">
        <v>8</v>
      </c>
      <c r="M18" s="23">
        <v>30</v>
      </c>
      <c r="N18" s="24">
        <f t="shared" si="1"/>
        <v>26.67</v>
      </c>
    </row>
    <row r="19" spans="2:14" ht="15" customHeight="1" x14ac:dyDescent="0.25">
      <c r="C19">
        <f>SUM(C3:C18)</f>
        <v>387</v>
      </c>
      <c r="D19">
        <f>SUM(D3:D18)</f>
        <v>507</v>
      </c>
      <c r="E19" s="20">
        <f t="shared" si="0"/>
        <v>76.331360946745562</v>
      </c>
      <c r="L19">
        <f>SUM(L3:L18)</f>
        <v>371</v>
      </c>
      <c r="M19">
        <f>SUM(M3:M18)</f>
        <v>480</v>
      </c>
      <c r="N19" s="28">
        <f>(L19/M19) * 100</f>
        <v>77.291666666666671</v>
      </c>
    </row>
    <row r="29" spans="2:14" ht="60" x14ac:dyDescent="0.25">
      <c r="B29" s="49"/>
      <c r="C29" s="21" t="s">
        <v>1</v>
      </c>
      <c r="D29" s="21" t="s">
        <v>2</v>
      </c>
      <c r="E29" s="21" t="s">
        <v>3</v>
      </c>
      <c r="F29" s="21" t="s">
        <v>5</v>
      </c>
      <c r="G29" s="21" t="s">
        <v>4</v>
      </c>
      <c r="H29" s="21" t="s">
        <v>6</v>
      </c>
      <c r="I29" s="21" t="s">
        <v>9</v>
      </c>
      <c r="J29" s="21" t="s">
        <v>10</v>
      </c>
      <c r="K29" s="21" t="s">
        <v>215</v>
      </c>
      <c r="L29" s="21" t="s">
        <v>216</v>
      </c>
    </row>
    <row r="30" spans="2:14" x14ac:dyDescent="0.25">
      <c r="B30" s="21" t="s">
        <v>217</v>
      </c>
      <c r="C30" s="49"/>
      <c r="D30" s="49"/>
      <c r="E30" s="49"/>
      <c r="F30" s="49"/>
      <c r="G30" s="49"/>
      <c r="H30" s="30"/>
      <c r="I30" s="30"/>
      <c r="J30" s="30"/>
      <c r="K30" s="50"/>
      <c r="L30" s="50"/>
    </row>
    <row r="31" spans="2:14" x14ac:dyDescent="0.25">
      <c r="B31" s="51" t="s">
        <v>218</v>
      </c>
      <c r="C31" s="3">
        <v>9.0500000000000007</v>
      </c>
      <c r="D31" s="3">
        <v>852.62</v>
      </c>
      <c r="E31" s="3">
        <v>60.16</v>
      </c>
      <c r="F31" s="3">
        <v>6.02</v>
      </c>
      <c r="G31" s="2">
        <v>1111.1099999999999</v>
      </c>
      <c r="H31" s="3">
        <v>415.81</v>
      </c>
      <c r="I31" s="3">
        <v>14.77</v>
      </c>
      <c r="J31" s="3">
        <v>77.06</v>
      </c>
      <c r="K31" s="3">
        <v>430.09</v>
      </c>
      <c r="L31" s="3">
        <v>413.27</v>
      </c>
    </row>
    <row r="32" spans="2:14" x14ac:dyDescent="0.25">
      <c r="B32" s="51" t="s">
        <v>219</v>
      </c>
      <c r="C32" s="3">
        <v>8.7200000000000006</v>
      </c>
      <c r="D32" s="3">
        <v>817.4</v>
      </c>
      <c r="E32" s="3">
        <v>62.78</v>
      </c>
      <c r="F32" s="3">
        <v>5.65</v>
      </c>
      <c r="G32" s="2">
        <v>1057.0999999999999</v>
      </c>
      <c r="H32" s="3">
        <v>398.66</v>
      </c>
      <c r="I32" s="3">
        <v>14.26</v>
      </c>
      <c r="J32" s="3">
        <v>76.09</v>
      </c>
      <c r="K32" s="3">
        <v>411.71</v>
      </c>
      <c r="L32" s="3">
        <v>394.71</v>
      </c>
    </row>
    <row r="33" spans="2:12" x14ac:dyDescent="0.25">
      <c r="B33" s="51" t="s">
        <v>220</v>
      </c>
      <c r="C33" s="3">
        <v>7.59</v>
      </c>
      <c r="D33" s="3">
        <v>876.08</v>
      </c>
      <c r="E33" s="3">
        <v>58.3</v>
      </c>
      <c r="F33" s="3">
        <v>7.45</v>
      </c>
      <c r="G33" s="3">
        <v>931.96</v>
      </c>
      <c r="H33" s="3">
        <v>351.26</v>
      </c>
      <c r="I33" s="3">
        <v>12.58</v>
      </c>
      <c r="J33" s="3">
        <v>62.15</v>
      </c>
      <c r="K33" s="3">
        <v>337.06</v>
      </c>
      <c r="L33" s="3">
        <v>323.83</v>
      </c>
    </row>
    <row r="34" spans="2:12" x14ac:dyDescent="0.25">
      <c r="C34">
        <f>SUM(C31:C33)</f>
        <v>25.360000000000003</v>
      </c>
      <c r="D34">
        <f>SUM(D31:D33)</f>
        <v>2546.1</v>
      </c>
      <c r="E34">
        <f>SUM(E31:E33)</f>
        <v>181.24</v>
      </c>
      <c r="F34">
        <f>SUM(F31:F33)</f>
        <v>19.12</v>
      </c>
      <c r="G34" s="52">
        <f>SUM(G31:G33)</f>
        <v>3100.17</v>
      </c>
      <c r="H34">
        <f>SUM(H31:H33)</f>
        <v>1165.73</v>
      </c>
      <c r="I34">
        <f>SUM(I31:I33)</f>
        <v>41.61</v>
      </c>
      <c r="K34">
        <f>SUM(K31:K33)</f>
        <v>1178.8599999999999</v>
      </c>
      <c r="L34">
        <f>SUM(L31:L33)</f>
        <v>1131.81</v>
      </c>
    </row>
    <row r="36" spans="2:12" x14ac:dyDescent="0.25">
      <c r="B36" s="51"/>
    </row>
    <row r="37" spans="2:12" x14ac:dyDescent="0.25">
      <c r="B37" s="51"/>
    </row>
    <row r="38" spans="2:12" x14ac:dyDescent="0.25">
      <c r="B38" s="51"/>
    </row>
    <row r="41" spans="2:12" x14ac:dyDescent="0.25">
      <c r="C41" t="s">
        <v>1</v>
      </c>
      <c r="D41" t="s">
        <v>2</v>
      </c>
      <c r="E41" t="s">
        <v>3</v>
      </c>
      <c r="F41" t="s">
        <v>5</v>
      </c>
      <c r="G41" t="s">
        <v>6</v>
      </c>
      <c r="H41" t="s">
        <v>215</v>
      </c>
      <c r="I41" t="s">
        <v>216</v>
      </c>
    </row>
    <row r="42" spans="2:12" x14ac:dyDescent="0.25">
      <c r="B42" t="s">
        <v>218</v>
      </c>
      <c r="C42">
        <v>35.69</v>
      </c>
      <c r="D42">
        <v>33.49</v>
      </c>
      <c r="E42">
        <v>33.19</v>
      </c>
      <c r="F42">
        <v>31.49</v>
      </c>
      <c r="G42">
        <v>35.67</v>
      </c>
      <c r="H42">
        <v>36.479999999999997</v>
      </c>
      <c r="I42">
        <v>36.51</v>
      </c>
    </row>
    <row r="43" spans="2:12" x14ac:dyDescent="0.25">
      <c r="B43" t="s">
        <v>219</v>
      </c>
      <c r="C43">
        <v>34.380000000000003</v>
      </c>
      <c r="D43">
        <v>32.1</v>
      </c>
      <c r="E43">
        <v>34.64</v>
      </c>
      <c r="F43">
        <v>29.55</v>
      </c>
      <c r="G43">
        <v>34.200000000000003</v>
      </c>
      <c r="H43">
        <v>34.92</v>
      </c>
      <c r="I43">
        <v>34.869999999999997</v>
      </c>
    </row>
    <row r="44" spans="2:12" x14ac:dyDescent="0.25">
      <c r="B44" t="s">
        <v>220</v>
      </c>
      <c r="C44">
        <v>29.93</v>
      </c>
      <c r="D44">
        <v>34.409999999999997</v>
      </c>
      <c r="E44">
        <v>32.17</v>
      </c>
      <c r="F44">
        <v>38.96</v>
      </c>
      <c r="G44">
        <v>30.13</v>
      </c>
      <c r="H44">
        <v>28.59</v>
      </c>
      <c r="I44">
        <v>28.61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C8B-028E-49DA-9F7E-B91A315D61CC}">
  <dimension ref="B2:N85"/>
  <sheetViews>
    <sheetView topLeftCell="A79" workbookViewId="0">
      <selection activeCell="B93" sqref="B93"/>
    </sheetView>
  </sheetViews>
  <sheetFormatPr defaultRowHeight="15" x14ac:dyDescent="0.25"/>
  <cols>
    <col min="2" max="2" width="32.28515625" customWidth="1"/>
    <col min="3" max="3" width="14" customWidth="1"/>
    <col min="4" max="4" width="13.28515625" customWidth="1"/>
    <col min="5" max="5" width="12.5703125" customWidth="1"/>
    <col min="6" max="6" width="12.42578125" customWidth="1"/>
    <col min="8" max="8" width="0.140625" customWidth="1"/>
    <col min="9" max="9" width="19.7109375" customWidth="1"/>
    <col min="10" max="10" width="16.42578125" customWidth="1"/>
    <col min="11" max="11" width="22.85546875" customWidth="1"/>
  </cols>
  <sheetData>
    <row r="2" spans="2:3" ht="15" customHeight="1" x14ac:dyDescent="0.25">
      <c r="B2" s="29" t="s">
        <v>41</v>
      </c>
      <c r="C2" s="21" t="s">
        <v>102</v>
      </c>
    </row>
    <row r="3" spans="2:3" ht="15" customHeight="1" x14ac:dyDescent="0.25">
      <c r="B3" s="1" t="s">
        <v>54</v>
      </c>
      <c r="C3" s="1">
        <v>11.21</v>
      </c>
    </row>
    <row r="4" spans="2:3" ht="15" customHeight="1" x14ac:dyDescent="0.25">
      <c r="B4" s="1" t="s">
        <v>45</v>
      </c>
      <c r="C4" s="1">
        <v>11.17</v>
      </c>
    </row>
    <row r="5" spans="2:3" ht="15" customHeight="1" x14ac:dyDescent="0.25">
      <c r="B5" s="1" t="s">
        <v>52</v>
      </c>
      <c r="C5" s="1">
        <v>10.9</v>
      </c>
    </row>
    <row r="6" spans="2:3" ht="15" customHeight="1" x14ac:dyDescent="0.25">
      <c r="B6" s="1" t="s">
        <v>44</v>
      </c>
      <c r="C6" s="1">
        <v>10.79</v>
      </c>
    </row>
    <row r="7" spans="2:3" ht="15" customHeight="1" x14ac:dyDescent="0.25">
      <c r="B7" s="1" t="s">
        <v>50</v>
      </c>
      <c r="C7" s="1">
        <v>10.76</v>
      </c>
    </row>
    <row r="8" spans="2:3" ht="15" customHeight="1" x14ac:dyDescent="0.25">
      <c r="B8" s="1" t="s">
        <v>53</v>
      </c>
      <c r="C8" s="1">
        <v>10.72</v>
      </c>
    </row>
    <row r="9" spans="2:3" ht="15" customHeight="1" x14ac:dyDescent="0.25">
      <c r="B9" s="1" t="s">
        <v>46</v>
      </c>
      <c r="C9" s="1">
        <v>10.44</v>
      </c>
    </row>
    <row r="10" spans="2:3" ht="15" customHeight="1" x14ac:dyDescent="0.25">
      <c r="B10" s="1" t="s">
        <v>58</v>
      </c>
      <c r="C10" s="1">
        <v>10.25</v>
      </c>
    </row>
    <row r="11" spans="2:3" ht="15" customHeight="1" x14ac:dyDescent="0.25">
      <c r="B11" s="1" t="s">
        <v>48</v>
      </c>
      <c r="C11" s="1">
        <v>9.89</v>
      </c>
    </row>
    <row r="12" spans="2:3" ht="15" customHeight="1" x14ac:dyDescent="0.25">
      <c r="B12" s="1" t="s">
        <v>55</v>
      </c>
      <c r="C12" s="1">
        <v>9.6300000000000008</v>
      </c>
    </row>
    <row r="13" spans="2:3" ht="15" customHeight="1" x14ac:dyDescent="0.25">
      <c r="B13" s="1" t="s">
        <v>51</v>
      </c>
      <c r="C13" s="1">
        <v>9.23</v>
      </c>
    </row>
    <row r="14" spans="2:3" ht="15" customHeight="1" x14ac:dyDescent="0.25">
      <c r="B14" s="1" t="s">
        <v>47</v>
      </c>
      <c r="C14" s="1">
        <v>8.3699999999999992</v>
      </c>
    </row>
    <row r="15" spans="2:3" ht="15" customHeight="1" x14ac:dyDescent="0.25">
      <c r="B15" s="1" t="s">
        <v>57</v>
      </c>
      <c r="C15" s="1">
        <v>8.09</v>
      </c>
    </row>
    <row r="16" spans="2:3" ht="15" customHeight="1" x14ac:dyDescent="0.25">
      <c r="B16" s="1" t="s">
        <v>56</v>
      </c>
      <c r="C16" s="1">
        <v>7.53</v>
      </c>
    </row>
    <row r="17" spans="2:11" ht="15" customHeight="1" x14ac:dyDescent="0.25">
      <c r="B17" s="1" t="s">
        <v>49</v>
      </c>
      <c r="C17" s="1">
        <v>7.4</v>
      </c>
    </row>
    <row r="18" spans="2:11" ht="15" customHeight="1" x14ac:dyDescent="0.25">
      <c r="B18" s="1" t="s">
        <v>59</v>
      </c>
      <c r="C18" s="1">
        <v>6.27</v>
      </c>
    </row>
    <row r="23" spans="2:11" ht="15.75" thickBot="1" x14ac:dyDescent="0.3"/>
    <row r="24" spans="2:11" ht="58.5" customHeight="1" thickBot="1" x14ac:dyDescent="0.3">
      <c r="B24" s="38" t="s">
        <v>120</v>
      </c>
      <c r="C24" s="38" t="s">
        <v>121</v>
      </c>
      <c r="D24" s="38" t="s">
        <v>122</v>
      </c>
      <c r="E24" s="38" t="s">
        <v>123</v>
      </c>
      <c r="F24" s="38" t="s">
        <v>124</v>
      </c>
      <c r="G24" s="38" t="s">
        <v>125</v>
      </c>
      <c r="H24" s="38" t="s">
        <v>103</v>
      </c>
      <c r="I24" s="38" t="s">
        <v>126</v>
      </c>
      <c r="J24" s="38" t="s">
        <v>127</v>
      </c>
      <c r="K24" s="41" t="s">
        <v>128</v>
      </c>
    </row>
    <row r="25" spans="2:11" ht="15" customHeight="1" thickBot="1" x14ac:dyDescent="0.3">
      <c r="B25" s="40" t="s">
        <v>104</v>
      </c>
      <c r="C25" s="40">
        <v>10.086886</v>
      </c>
      <c r="D25" s="40">
        <v>1080.2639810000001</v>
      </c>
      <c r="E25" s="40">
        <v>72.126375999999993</v>
      </c>
      <c r="F25" s="40">
        <v>1221.870866</v>
      </c>
      <c r="G25" s="40">
        <v>7.1315869999999997</v>
      </c>
      <c r="H25" s="40">
        <v>428.01444400000003</v>
      </c>
      <c r="I25" s="40">
        <v>449.71499999999997</v>
      </c>
      <c r="J25" s="40">
        <f>ROUND(I25,2)</f>
        <v>449.72</v>
      </c>
      <c r="K25" s="42">
        <f t="shared" ref="K25:K40" si="0">ROUND(H25,2)</f>
        <v>428.01</v>
      </c>
    </row>
    <row r="26" spans="2:11" ht="15" customHeight="1" thickBot="1" x14ac:dyDescent="0.3">
      <c r="B26" s="40" t="s">
        <v>105</v>
      </c>
      <c r="C26" s="40">
        <v>9.7042129999999993</v>
      </c>
      <c r="D26" s="40">
        <v>862.14343899999994</v>
      </c>
      <c r="E26" s="40">
        <v>64.896820000000005</v>
      </c>
      <c r="F26" s="40">
        <v>1164.405773</v>
      </c>
      <c r="G26" s="40">
        <v>7.8512120000000003</v>
      </c>
      <c r="H26" s="40">
        <v>432.34564399999999</v>
      </c>
      <c r="I26" s="40">
        <v>447.38043900000002</v>
      </c>
      <c r="J26" s="40">
        <f t="shared" ref="J26:J40" si="1">ROUND(I26,2)</f>
        <v>447.38</v>
      </c>
      <c r="K26" s="42">
        <f t="shared" si="0"/>
        <v>432.35</v>
      </c>
    </row>
    <row r="27" spans="2:11" ht="15" customHeight="1" thickBot="1" x14ac:dyDescent="0.3">
      <c r="B27" s="40" t="s">
        <v>106</v>
      </c>
      <c r="C27" s="40">
        <v>9.1178360000000005</v>
      </c>
      <c r="D27" s="40">
        <v>1000.6119179999999</v>
      </c>
      <c r="E27" s="40">
        <v>69.973506</v>
      </c>
      <c r="F27" s="40">
        <v>1116.8063159999999</v>
      </c>
      <c r="G27" s="40">
        <v>5.7419760000000002</v>
      </c>
      <c r="H27" s="40">
        <v>409.69849599999998</v>
      </c>
      <c r="I27" s="40">
        <v>427.64752499999997</v>
      </c>
      <c r="J27" s="40">
        <f t="shared" si="1"/>
        <v>427.65</v>
      </c>
      <c r="K27" s="42">
        <f t="shared" si="0"/>
        <v>409.7</v>
      </c>
    </row>
    <row r="28" spans="2:11" ht="15" customHeight="1" thickBot="1" x14ac:dyDescent="0.3">
      <c r="B28" s="40" t="s">
        <v>107</v>
      </c>
      <c r="C28" s="40">
        <v>9.0076640000000001</v>
      </c>
      <c r="D28" s="40">
        <v>980.26935700000001</v>
      </c>
      <c r="E28" s="40">
        <v>68.178225999999995</v>
      </c>
      <c r="F28" s="40">
        <v>1109.2271000000001</v>
      </c>
      <c r="G28" s="40">
        <v>4.84971</v>
      </c>
      <c r="H28" s="40">
        <v>404.93530099999998</v>
      </c>
      <c r="I28" s="40">
        <v>420.60171000000003</v>
      </c>
      <c r="J28" s="40">
        <f t="shared" si="1"/>
        <v>420.6</v>
      </c>
      <c r="K28" s="42">
        <f t="shared" si="0"/>
        <v>404.94</v>
      </c>
    </row>
    <row r="29" spans="2:11" ht="15" customHeight="1" thickBot="1" x14ac:dyDescent="0.3">
      <c r="B29" s="40" t="s">
        <v>108</v>
      </c>
      <c r="C29" s="40">
        <v>8.8946900000000007</v>
      </c>
      <c r="D29" s="40">
        <v>778.05620099999999</v>
      </c>
      <c r="E29" s="40">
        <v>57.985869999999998</v>
      </c>
      <c r="F29" s="40">
        <v>1126.760822</v>
      </c>
      <c r="G29" s="40">
        <v>5.7840670000000003</v>
      </c>
      <c r="H29" s="40">
        <v>399.76299899999998</v>
      </c>
      <c r="I29" s="40">
        <v>417.80338499999999</v>
      </c>
      <c r="J29" s="40">
        <f t="shared" si="1"/>
        <v>417.8</v>
      </c>
      <c r="K29" s="42">
        <f t="shared" si="0"/>
        <v>399.76</v>
      </c>
    </row>
    <row r="30" spans="2:11" ht="15" customHeight="1" thickBot="1" x14ac:dyDescent="0.3">
      <c r="B30" s="40" t="s">
        <v>109</v>
      </c>
      <c r="C30" s="40">
        <v>8.8671769999999999</v>
      </c>
      <c r="D30" s="40">
        <v>919.17026199999998</v>
      </c>
      <c r="E30" s="40">
        <v>65.189905999999993</v>
      </c>
      <c r="F30" s="40">
        <v>1084.9680679999999</v>
      </c>
      <c r="G30" s="40">
        <v>8.0504879999999996</v>
      </c>
      <c r="H30" s="40">
        <v>396.613944</v>
      </c>
      <c r="I30" s="40">
        <v>414.40724299999999</v>
      </c>
      <c r="J30" s="40">
        <f t="shared" si="1"/>
        <v>414.41</v>
      </c>
      <c r="K30" s="42">
        <f t="shared" si="0"/>
        <v>396.61</v>
      </c>
    </row>
    <row r="31" spans="2:11" ht="15" customHeight="1" thickBot="1" x14ac:dyDescent="0.3">
      <c r="B31" s="40" t="s">
        <v>110</v>
      </c>
      <c r="C31" s="40">
        <v>8.7705769999999994</v>
      </c>
      <c r="D31" s="40">
        <v>884.55066099999999</v>
      </c>
      <c r="E31" s="40">
        <v>64.241230999999999</v>
      </c>
      <c r="F31" s="40">
        <v>1090.3917429999999</v>
      </c>
      <c r="G31" s="40">
        <v>6.6707330000000002</v>
      </c>
      <c r="H31" s="40">
        <v>426.66216900000001</v>
      </c>
      <c r="I31" s="40">
        <v>445.51865400000003</v>
      </c>
      <c r="J31" s="40">
        <f t="shared" si="1"/>
        <v>445.52</v>
      </c>
      <c r="K31" s="42">
        <f t="shared" si="0"/>
        <v>426.66</v>
      </c>
    </row>
    <row r="32" spans="2:11" ht="15" customHeight="1" thickBot="1" x14ac:dyDescent="0.3">
      <c r="B32" s="40" t="s">
        <v>111</v>
      </c>
      <c r="C32" s="40">
        <v>8.6050269999999998</v>
      </c>
      <c r="D32" s="40">
        <v>799.52132700000004</v>
      </c>
      <c r="E32" s="40">
        <v>57.794077000000001</v>
      </c>
      <c r="F32" s="40">
        <v>1064.720558</v>
      </c>
      <c r="G32" s="40">
        <v>6.8519079999999999</v>
      </c>
      <c r="H32" s="40">
        <v>391.08613800000001</v>
      </c>
      <c r="I32" s="40">
        <v>406.27909899999997</v>
      </c>
      <c r="J32" s="40">
        <f t="shared" si="1"/>
        <v>406.28</v>
      </c>
      <c r="K32" s="42">
        <f t="shared" si="0"/>
        <v>391.09</v>
      </c>
    </row>
    <row r="33" spans="2:11" ht="15" customHeight="1" thickBot="1" x14ac:dyDescent="0.3">
      <c r="B33" s="40" t="s">
        <v>112</v>
      </c>
      <c r="C33" s="40">
        <v>8.5616640000000004</v>
      </c>
      <c r="D33" s="40">
        <v>881.11155799999995</v>
      </c>
      <c r="E33" s="40">
        <v>61.741489999999999</v>
      </c>
      <c r="F33" s="40">
        <v>1042.1979940000001</v>
      </c>
      <c r="G33" s="40">
        <v>5.4715069999999999</v>
      </c>
      <c r="H33" s="40">
        <v>391.74291299999999</v>
      </c>
      <c r="I33" s="40">
        <v>407.70566100000002</v>
      </c>
      <c r="J33" s="40">
        <f t="shared" si="1"/>
        <v>407.71</v>
      </c>
      <c r="K33" s="42">
        <f t="shared" si="0"/>
        <v>391.74</v>
      </c>
    </row>
    <row r="34" spans="2:11" ht="15" customHeight="1" thickBot="1" x14ac:dyDescent="0.3">
      <c r="B34" s="40" t="s">
        <v>113</v>
      </c>
      <c r="C34" s="40">
        <v>8.4074950000000008</v>
      </c>
      <c r="D34" s="40">
        <v>811.19019800000001</v>
      </c>
      <c r="E34" s="40">
        <v>58.519765</v>
      </c>
      <c r="F34" s="40">
        <v>1018.706431</v>
      </c>
      <c r="G34" s="40">
        <v>7.403448</v>
      </c>
      <c r="H34" s="40">
        <v>376.113744</v>
      </c>
      <c r="I34" s="40">
        <v>389.91827899999998</v>
      </c>
      <c r="J34" s="40">
        <f t="shared" si="1"/>
        <v>389.92</v>
      </c>
      <c r="K34" s="42">
        <f t="shared" si="0"/>
        <v>376.11</v>
      </c>
    </row>
    <row r="35" spans="2:11" ht="15" customHeight="1" thickBot="1" x14ac:dyDescent="0.3">
      <c r="B35" s="40" t="s">
        <v>114</v>
      </c>
      <c r="C35" s="40">
        <v>8.4018730000000001</v>
      </c>
      <c r="D35" s="40">
        <v>825.58669699999996</v>
      </c>
      <c r="E35" s="40">
        <v>59.376725999999998</v>
      </c>
      <c r="F35" s="40">
        <v>1019.569025</v>
      </c>
      <c r="G35" s="40">
        <v>6.5753209999999997</v>
      </c>
      <c r="H35" s="40">
        <v>386.23770300000001</v>
      </c>
      <c r="I35" s="40">
        <v>401.50300800000002</v>
      </c>
      <c r="J35" s="40">
        <f t="shared" si="1"/>
        <v>401.5</v>
      </c>
      <c r="K35" s="42">
        <f t="shared" si="0"/>
        <v>386.24</v>
      </c>
    </row>
    <row r="36" spans="2:11" ht="15" customHeight="1" thickBot="1" x14ac:dyDescent="0.3">
      <c r="B36" s="40" t="s">
        <v>115</v>
      </c>
      <c r="C36" s="40">
        <v>8.3841289999999997</v>
      </c>
      <c r="D36" s="40">
        <v>798.05896099999995</v>
      </c>
      <c r="E36" s="40">
        <v>58.516035000000002</v>
      </c>
      <c r="F36" s="40">
        <v>1019.425761</v>
      </c>
      <c r="G36" s="40">
        <v>6.4371830000000001</v>
      </c>
      <c r="H36" s="40">
        <v>374.80675500000001</v>
      </c>
      <c r="I36" s="40">
        <v>392.472418</v>
      </c>
      <c r="J36" s="40">
        <f t="shared" si="1"/>
        <v>392.47</v>
      </c>
      <c r="K36" s="42">
        <f t="shared" si="0"/>
        <v>374.81</v>
      </c>
    </row>
    <row r="37" spans="2:11" ht="15" customHeight="1" thickBot="1" x14ac:dyDescent="0.3">
      <c r="B37" s="40" t="s">
        <v>116</v>
      </c>
      <c r="C37" s="40">
        <v>8.3171680000000006</v>
      </c>
      <c r="D37" s="40">
        <v>810.65083700000002</v>
      </c>
      <c r="E37" s="40">
        <v>56.721128</v>
      </c>
      <c r="F37" s="40">
        <v>1010.228404</v>
      </c>
      <c r="G37" s="40">
        <v>5.5084010000000001</v>
      </c>
      <c r="H37" s="40">
        <v>361.61679500000002</v>
      </c>
      <c r="I37" s="40">
        <v>380.23534100000001</v>
      </c>
      <c r="J37" s="40">
        <f t="shared" si="1"/>
        <v>380.24</v>
      </c>
      <c r="K37" s="42">
        <f t="shared" si="0"/>
        <v>361.62</v>
      </c>
    </row>
    <row r="38" spans="2:11" ht="15" customHeight="1" thickBot="1" x14ac:dyDescent="0.3">
      <c r="B38" s="40" t="s">
        <v>117</v>
      </c>
      <c r="C38" s="40">
        <v>8.314254</v>
      </c>
      <c r="D38" s="40">
        <v>830.76728400000002</v>
      </c>
      <c r="E38" s="40">
        <v>57.936373000000003</v>
      </c>
      <c r="F38" s="40">
        <v>1029.2770909999999</v>
      </c>
      <c r="G38" s="40">
        <v>5.2129479999999999</v>
      </c>
      <c r="H38" s="40">
        <v>356.49640900000003</v>
      </c>
      <c r="I38" s="40">
        <v>368.76774899999998</v>
      </c>
      <c r="J38" s="40">
        <f t="shared" si="1"/>
        <v>368.77</v>
      </c>
      <c r="K38" s="42">
        <f t="shared" si="0"/>
        <v>356.5</v>
      </c>
    </row>
    <row r="39" spans="2:11" ht="15" customHeight="1" thickBot="1" x14ac:dyDescent="0.3">
      <c r="B39" s="40" t="s">
        <v>118</v>
      </c>
      <c r="C39" s="40">
        <v>8.0489460000000008</v>
      </c>
      <c r="D39" s="40">
        <v>807.32354499999997</v>
      </c>
      <c r="E39" s="40">
        <v>56.501353000000002</v>
      </c>
      <c r="F39" s="40">
        <v>971.26029200000005</v>
      </c>
      <c r="G39" s="40">
        <v>6.8365049999999998</v>
      </c>
      <c r="H39" s="40">
        <v>345.08367700000002</v>
      </c>
      <c r="I39" s="40">
        <v>355.82652999999999</v>
      </c>
      <c r="J39" s="40">
        <f t="shared" si="1"/>
        <v>355.83</v>
      </c>
      <c r="K39" s="42">
        <f t="shared" si="0"/>
        <v>345.08</v>
      </c>
    </row>
    <row r="40" spans="2:11" ht="15" customHeight="1" thickBot="1" x14ac:dyDescent="0.3">
      <c r="B40" s="40" t="s">
        <v>119</v>
      </c>
      <c r="C40" s="40">
        <v>7.8411229999999996</v>
      </c>
      <c r="D40" s="40">
        <v>760.63205500000004</v>
      </c>
      <c r="E40" s="40">
        <v>55.621091999999997</v>
      </c>
      <c r="F40" s="40">
        <v>975.82920000000001</v>
      </c>
      <c r="G40" s="40">
        <v>4.844017</v>
      </c>
      <c r="H40" s="40">
        <v>357.98194799999999</v>
      </c>
      <c r="I40" s="40">
        <v>373.78417100000001</v>
      </c>
      <c r="J40" s="40">
        <f t="shared" si="1"/>
        <v>373.78</v>
      </c>
      <c r="K40" s="42">
        <f t="shared" si="0"/>
        <v>357.98</v>
      </c>
    </row>
    <row r="42" spans="2:11" ht="15.75" thickBot="1" x14ac:dyDescent="0.3"/>
    <row r="43" spans="2:11" ht="99.75" thickBot="1" x14ac:dyDescent="0.3">
      <c r="B43" s="38" t="s">
        <v>120</v>
      </c>
      <c r="C43" s="38" t="s">
        <v>129</v>
      </c>
      <c r="D43" s="38" t="s">
        <v>130</v>
      </c>
      <c r="E43" s="38" t="s">
        <v>131</v>
      </c>
      <c r="F43" s="38" t="s">
        <v>132</v>
      </c>
      <c r="G43" s="38" t="s">
        <v>133</v>
      </c>
      <c r="H43" s="43" t="s">
        <v>134</v>
      </c>
      <c r="I43" s="43" t="s">
        <v>135</v>
      </c>
    </row>
    <row r="44" spans="2:11" ht="17.25" thickBot="1" x14ac:dyDescent="0.3">
      <c r="B44" s="40" t="s">
        <v>104</v>
      </c>
      <c r="C44" s="40">
        <v>456.488766</v>
      </c>
      <c r="D44" s="40">
        <v>16.521405000000001</v>
      </c>
      <c r="E44" s="40">
        <v>88.427937999999997</v>
      </c>
      <c r="F44" s="40">
        <v>4.579135</v>
      </c>
      <c r="G44" s="40">
        <v>4.3564189999999998</v>
      </c>
      <c r="H44">
        <f>ROUND(F44,2)</f>
        <v>4.58</v>
      </c>
      <c r="I44">
        <f>ROUND(G44,2)</f>
        <v>4.3600000000000003</v>
      </c>
    </row>
    <row r="45" spans="2:11" ht="17.25" thickBot="1" x14ac:dyDescent="0.3">
      <c r="B45" s="40" t="s">
        <v>105</v>
      </c>
      <c r="C45" s="40">
        <v>453.12781899999999</v>
      </c>
      <c r="D45" s="40">
        <v>15.713335000000001</v>
      </c>
      <c r="E45" s="40">
        <v>81.829293000000007</v>
      </c>
      <c r="F45" s="40">
        <v>4.5508600000000001</v>
      </c>
      <c r="G45" s="40">
        <v>4.398021</v>
      </c>
      <c r="H45">
        <f t="shared" ref="H45:H59" si="2">ROUND(F45,2)</f>
        <v>4.55</v>
      </c>
      <c r="I45">
        <f t="shared" ref="I45:I59" si="3">ROUND(G45,2)</f>
        <v>4.4000000000000004</v>
      </c>
    </row>
    <row r="46" spans="2:11" ht="17.25" thickBot="1" x14ac:dyDescent="0.3">
      <c r="B46" s="40" t="s">
        <v>106</v>
      </c>
      <c r="C46" s="40">
        <v>408.45667500000002</v>
      </c>
      <c r="D46" s="40">
        <v>14.955090999999999</v>
      </c>
      <c r="E46" s="40">
        <v>78.625810999999999</v>
      </c>
      <c r="F46" s="40">
        <v>4.3178599999999996</v>
      </c>
      <c r="G46" s="40">
        <v>4.1367839999999996</v>
      </c>
      <c r="H46">
        <f t="shared" si="2"/>
        <v>4.32</v>
      </c>
      <c r="I46">
        <f t="shared" si="3"/>
        <v>4.1399999999999997</v>
      </c>
    </row>
    <row r="47" spans="2:11" ht="17.25" thickBot="1" x14ac:dyDescent="0.3">
      <c r="B47" s="40" t="s">
        <v>107</v>
      </c>
      <c r="C47" s="40">
        <v>411.400553</v>
      </c>
      <c r="D47" s="40">
        <v>14.962113</v>
      </c>
      <c r="E47" s="40">
        <v>78.488632999999993</v>
      </c>
      <c r="F47" s="40">
        <v>4.3250500000000001</v>
      </c>
      <c r="G47" s="40">
        <v>4.164129</v>
      </c>
      <c r="H47">
        <f t="shared" si="2"/>
        <v>4.33</v>
      </c>
      <c r="I47">
        <f t="shared" si="3"/>
        <v>4.16</v>
      </c>
    </row>
    <row r="48" spans="2:11" ht="17.25" thickBot="1" x14ac:dyDescent="0.3">
      <c r="B48" s="40" t="s">
        <v>110</v>
      </c>
      <c r="C48" s="40">
        <v>419.48384700000003</v>
      </c>
      <c r="D48" s="40">
        <v>14.411045</v>
      </c>
      <c r="E48" s="40">
        <v>74.298349000000002</v>
      </c>
      <c r="F48" s="40">
        <v>4.4863730000000004</v>
      </c>
      <c r="G48" s="40">
        <v>4.2968169999999999</v>
      </c>
      <c r="H48">
        <f t="shared" si="2"/>
        <v>4.49</v>
      </c>
      <c r="I48">
        <f t="shared" si="3"/>
        <v>4.3</v>
      </c>
    </row>
    <row r="49" spans="2:14" ht="15" customHeight="1" thickBot="1" x14ac:dyDescent="0.3">
      <c r="B49" s="40" t="s">
        <v>108</v>
      </c>
      <c r="C49" s="40">
        <v>403.10897899999998</v>
      </c>
      <c r="D49" s="40">
        <v>14.326917</v>
      </c>
      <c r="E49" s="40">
        <v>73.620771000000005</v>
      </c>
      <c r="F49" s="40">
        <v>4.2101550000000003</v>
      </c>
      <c r="G49" s="40">
        <v>4.0292770000000004</v>
      </c>
      <c r="H49">
        <f t="shared" si="2"/>
        <v>4.21</v>
      </c>
      <c r="I49">
        <f t="shared" si="3"/>
        <v>4.03</v>
      </c>
      <c r="K49" s="38"/>
      <c r="L49" s="38" t="s">
        <v>136</v>
      </c>
      <c r="M49" s="38" t="s">
        <v>137</v>
      </c>
      <c r="N49" s="38" t="s">
        <v>138</v>
      </c>
    </row>
    <row r="50" spans="2:14" ht="15" customHeight="1" thickBot="1" x14ac:dyDescent="0.3">
      <c r="B50" s="40" t="s">
        <v>114</v>
      </c>
      <c r="C50" s="40">
        <v>391.75424099999998</v>
      </c>
      <c r="D50" s="40">
        <v>13.738329</v>
      </c>
      <c r="E50" s="40">
        <v>72.952406999999994</v>
      </c>
      <c r="F50" s="40">
        <v>4.0877590000000001</v>
      </c>
      <c r="G50" s="40">
        <v>3.9329179999999999</v>
      </c>
      <c r="H50">
        <f t="shared" si="2"/>
        <v>4.09</v>
      </c>
      <c r="I50">
        <f t="shared" si="3"/>
        <v>3.93</v>
      </c>
      <c r="K50" s="39"/>
      <c r="L50" s="40"/>
      <c r="M50" s="40"/>
      <c r="N50" s="40"/>
    </row>
    <row r="51" spans="2:14" ht="15" customHeight="1" thickBot="1" x14ac:dyDescent="0.3">
      <c r="B51" s="40" t="s">
        <v>112</v>
      </c>
      <c r="C51" s="40">
        <v>392.628714</v>
      </c>
      <c r="D51" s="40">
        <v>14.016738999999999</v>
      </c>
      <c r="E51" s="40">
        <v>72.532409000000001</v>
      </c>
      <c r="F51" s="40">
        <v>4.148828</v>
      </c>
      <c r="G51" s="40">
        <v>3.9865249999999999</v>
      </c>
      <c r="H51">
        <f t="shared" si="2"/>
        <v>4.1500000000000004</v>
      </c>
      <c r="I51">
        <f t="shared" si="3"/>
        <v>3.99</v>
      </c>
      <c r="K51" s="39"/>
      <c r="L51" s="40"/>
      <c r="M51" s="40"/>
      <c r="N51" s="40"/>
    </row>
    <row r="52" spans="2:14" ht="15" customHeight="1" thickBot="1" x14ac:dyDescent="0.3">
      <c r="B52" s="40" t="s">
        <v>115</v>
      </c>
      <c r="C52" s="40">
        <v>381.267064</v>
      </c>
      <c r="D52" s="40">
        <v>13.800765999999999</v>
      </c>
      <c r="E52" s="40">
        <v>72.081063</v>
      </c>
      <c r="F52" s="40">
        <v>4.0128250000000003</v>
      </c>
      <c r="G52" s="40">
        <v>3.8324159999999998</v>
      </c>
      <c r="H52">
        <f t="shared" si="2"/>
        <v>4.01</v>
      </c>
      <c r="I52">
        <f t="shared" si="3"/>
        <v>3.83</v>
      </c>
      <c r="K52" s="39"/>
      <c r="L52" s="40"/>
      <c r="M52" s="40"/>
      <c r="N52" s="40"/>
    </row>
    <row r="53" spans="2:14" ht="15" customHeight="1" thickBot="1" x14ac:dyDescent="0.3">
      <c r="B53" s="40" t="s">
        <v>109</v>
      </c>
      <c r="C53" s="40">
        <v>409.69883199999998</v>
      </c>
      <c r="D53" s="40">
        <v>14.33624</v>
      </c>
      <c r="E53" s="40">
        <v>71.921205999999998</v>
      </c>
      <c r="F53" s="40">
        <v>4.1315799999999996</v>
      </c>
      <c r="G53" s="40">
        <v>3.9536730000000002</v>
      </c>
      <c r="H53">
        <f t="shared" si="2"/>
        <v>4.13</v>
      </c>
      <c r="I53">
        <f t="shared" si="3"/>
        <v>3.95</v>
      </c>
      <c r="K53" s="39"/>
      <c r="L53" s="40"/>
      <c r="M53" s="40"/>
      <c r="N53" s="40"/>
    </row>
    <row r="54" spans="2:14" ht="15" customHeight="1" thickBot="1" x14ac:dyDescent="0.3">
      <c r="B54" s="40" t="s">
        <v>113</v>
      </c>
      <c r="C54" s="40">
        <v>389.663411</v>
      </c>
      <c r="D54" s="40">
        <v>13.554957</v>
      </c>
      <c r="E54" s="40">
        <v>71.070171000000002</v>
      </c>
      <c r="F54" s="40">
        <v>3.9145799999999999</v>
      </c>
      <c r="G54" s="40">
        <v>3.776275</v>
      </c>
      <c r="H54">
        <f t="shared" si="2"/>
        <v>3.91</v>
      </c>
      <c r="I54">
        <f t="shared" si="3"/>
        <v>3.78</v>
      </c>
      <c r="K54" s="39"/>
      <c r="L54" s="40"/>
      <c r="M54" s="40"/>
      <c r="N54" s="40"/>
    </row>
    <row r="55" spans="2:14" ht="15" customHeight="1" thickBot="1" x14ac:dyDescent="0.3">
      <c r="B55" s="40" t="s">
        <v>111</v>
      </c>
      <c r="C55" s="40">
        <v>394.89686499999999</v>
      </c>
      <c r="D55" s="40">
        <v>13.890231</v>
      </c>
      <c r="E55" s="40">
        <v>70.634504000000007</v>
      </c>
      <c r="F55" s="40">
        <v>4.0894009999999996</v>
      </c>
      <c r="G55" s="40">
        <v>3.9369239999999999</v>
      </c>
      <c r="H55">
        <f t="shared" si="2"/>
        <v>4.09</v>
      </c>
      <c r="I55">
        <f t="shared" si="3"/>
        <v>3.94</v>
      </c>
      <c r="K55" s="39" t="s">
        <v>144</v>
      </c>
      <c r="L55" s="40">
        <v>10</v>
      </c>
      <c r="M55" s="40">
        <v>5.8526220000000002</v>
      </c>
      <c r="N55" s="40">
        <v>0.63400299999999998</v>
      </c>
    </row>
    <row r="56" spans="2:14" ht="15" customHeight="1" thickBot="1" x14ac:dyDescent="0.3">
      <c r="B56" s="40" t="s">
        <v>117</v>
      </c>
      <c r="C56" s="40">
        <v>387.69135999999997</v>
      </c>
      <c r="D56" s="40">
        <v>13.535007</v>
      </c>
      <c r="E56" s="40">
        <v>70.183501000000007</v>
      </c>
      <c r="F56" s="40">
        <v>3.758953</v>
      </c>
      <c r="G56" s="40">
        <v>3.6340409999999999</v>
      </c>
      <c r="H56">
        <f t="shared" si="2"/>
        <v>3.76</v>
      </c>
      <c r="I56">
        <f t="shared" si="3"/>
        <v>3.63</v>
      </c>
      <c r="K56" s="39" t="s">
        <v>145</v>
      </c>
      <c r="L56" s="40">
        <v>10</v>
      </c>
      <c r="M56" s="40">
        <v>7.1660940000000002</v>
      </c>
      <c r="N56" s="40">
        <v>0.97441999999999995</v>
      </c>
    </row>
    <row r="57" spans="2:14" ht="15" customHeight="1" thickBot="1" x14ac:dyDescent="0.3">
      <c r="B57" s="40" t="s">
        <v>116</v>
      </c>
      <c r="C57" s="40">
        <v>384.22066799999999</v>
      </c>
      <c r="D57" s="40">
        <v>13.480930000000001</v>
      </c>
      <c r="E57" s="40">
        <v>70.034812000000002</v>
      </c>
      <c r="F57" s="40">
        <v>3.84111</v>
      </c>
      <c r="G57" s="40">
        <v>3.6528010000000002</v>
      </c>
      <c r="H57">
        <f t="shared" si="2"/>
        <v>3.84</v>
      </c>
      <c r="I57">
        <f t="shared" si="3"/>
        <v>3.65</v>
      </c>
      <c r="K57" s="39"/>
      <c r="L57" s="40"/>
      <c r="M57" s="40"/>
      <c r="N57" s="40"/>
    </row>
    <row r="58" spans="2:14" ht="15" customHeight="1" thickBot="1" x14ac:dyDescent="0.3">
      <c r="B58" s="40" t="s">
        <v>119</v>
      </c>
      <c r="C58" s="40">
        <v>351.823825</v>
      </c>
      <c r="D58" s="40">
        <v>13.720646</v>
      </c>
      <c r="E58" s="40">
        <v>69.735212000000004</v>
      </c>
      <c r="F58" s="40">
        <v>4.054907</v>
      </c>
      <c r="G58" s="40">
        <v>3.883365</v>
      </c>
      <c r="H58">
        <f t="shared" si="2"/>
        <v>4.05</v>
      </c>
      <c r="I58">
        <f t="shared" si="3"/>
        <v>3.88</v>
      </c>
      <c r="K58" s="39"/>
      <c r="L58" s="40"/>
      <c r="M58" s="40"/>
      <c r="N58" s="40"/>
    </row>
    <row r="59" spans="2:14" ht="17.25" thickBot="1" x14ac:dyDescent="0.3">
      <c r="B59" s="40" t="s">
        <v>118</v>
      </c>
      <c r="C59" s="40">
        <v>367.90340300000003</v>
      </c>
      <c r="D59" s="40">
        <v>13.209262000000001</v>
      </c>
      <c r="E59" s="40">
        <v>68.072078000000005</v>
      </c>
      <c r="F59" s="40">
        <v>3.651284</v>
      </c>
      <c r="G59" s="40">
        <v>3.5413290000000002</v>
      </c>
      <c r="H59">
        <f t="shared" si="2"/>
        <v>3.65</v>
      </c>
      <c r="I59">
        <f t="shared" si="3"/>
        <v>3.54</v>
      </c>
    </row>
    <row r="60" spans="2:14" x14ac:dyDescent="0.25">
      <c r="K60" s="29"/>
      <c r="L60" s="29" t="s">
        <v>136</v>
      </c>
      <c r="M60" s="29" t="s">
        <v>148</v>
      </c>
      <c r="N60" s="29" t="s">
        <v>149</v>
      </c>
    </row>
    <row r="61" spans="2:14" x14ac:dyDescent="0.25">
      <c r="K61" s="44" t="s">
        <v>7</v>
      </c>
      <c r="L61" s="3">
        <v>36.42</v>
      </c>
      <c r="M61" s="3">
        <v>29.58</v>
      </c>
      <c r="N61" s="3">
        <v>2.31</v>
      </c>
    </row>
    <row r="62" spans="2:14" x14ac:dyDescent="0.25">
      <c r="K62" s="44" t="s">
        <v>150</v>
      </c>
      <c r="L62" s="3">
        <v>136.52000000000001</v>
      </c>
      <c r="M62" s="3">
        <v>87.02</v>
      </c>
      <c r="N62" s="3">
        <v>24.65</v>
      </c>
    </row>
    <row r="63" spans="2:14" x14ac:dyDescent="0.25">
      <c r="K63" s="44" t="s">
        <v>151</v>
      </c>
      <c r="L63" s="3">
        <v>16.14</v>
      </c>
      <c r="M63" s="3">
        <v>10.33</v>
      </c>
      <c r="N63" s="3">
        <v>2.17</v>
      </c>
    </row>
    <row r="64" spans="2:14" x14ac:dyDescent="0.25">
      <c r="K64" s="44" t="s">
        <v>152</v>
      </c>
      <c r="L64" s="3">
        <v>20</v>
      </c>
      <c r="M64" s="3">
        <v>12.39</v>
      </c>
      <c r="N64" s="3">
        <v>2.81</v>
      </c>
    </row>
    <row r="65" spans="2:14" ht="28.5" x14ac:dyDescent="0.25">
      <c r="K65" s="45" t="s">
        <v>153</v>
      </c>
      <c r="L65" s="3">
        <v>7.11</v>
      </c>
      <c r="M65" s="3">
        <v>4.0599999999999996</v>
      </c>
      <c r="N65" s="3">
        <v>1.23</v>
      </c>
    </row>
    <row r="66" spans="2:14" ht="28.5" x14ac:dyDescent="0.25">
      <c r="K66" s="45" t="s">
        <v>154</v>
      </c>
      <c r="L66" s="3">
        <v>6.71</v>
      </c>
      <c r="M66" s="3">
        <v>3.9</v>
      </c>
      <c r="N66" s="1" t="s">
        <v>155</v>
      </c>
    </row>
    <row r="67" spans="2:14" ht="15.75" thickBot="1" x14ac:dyDescent="0.3"/>
    <row r="68" spans="2:14" ht="50.25" thickBot="1" x14ac:dyDescent="0.3">
      <c r="B68" s="38" t="s">
        <v>120</v>
      </c>
      <c r="C68" s="38" t="s">
        <v>156</v>
      </c>
      <c r="D68" s="38" t="s">
        <v>157</v>
      </c>
      <c r="E68" s="38" t="s">
        <v>158</v>
      </c>
      <c r="F68" s="38" t="s">
        <v>159</v>
      </c>
    </row>
    <row r="69" spans="2:14" ht="15" customHeight="1" thickBot="1" x14ac:dyDescent="0.3">
      <c r="B69" s="40" t="s">
        <v>108</v>
      </c>
      <c r="C69" s="40">
        <v>36.4163</v>
      </c>
      <c r="D69" s="40">
        <v>123.209469</v>
      </c>
      <c r="E69" s="40">
        <v>7.7111999999999998</v>
      </c>
      <c r="F69" s="40">
        <v>10</v>
      </c>
      <c r="I69" s="38" t="s">
        <v>160</v>
      </c>
      <c r="J69" s="38" t="s">
        <v>161</v>
      </c>
      <c r="K69" s="38" t="s">
        <v>162</v>
      </c>
      <c r="L69" s="38" t="s">
        <v>163</v>
      </c>
      <c r="M69" s="38" t="s">
        <v>164</v>
      </c>
    </row>
    <row r="70" spans="2:14" ht="15" customHeight="1" thickBot="1" x14ac:dyDescent="0.3">
      <c r="B70" s="40" t="s">
        <v>112</v>
      </c>
      <c r="C70" s="40">
        <v>36.224299999999999</v>
      </c>
      <c r="D70" s="40">
        <v>128.651725</v>
      </c>
      <c r="E70" s="40">
        <v>10</v>
      </c>
      <c r="F70" s="40">
        <v>10</v>
      </c>
      <c r="I70" s="40" t="s">
        <v>165</v>
      </c>
      <c r="J70" s="40" t="s">
        <v>166</v>
      </c>
      <c r="K70" s="40" t="s">
        <v>104</v>
      </c>
      <c r="L70" s="40">
        <v>13.499000000000001</v>
      </c>
      <c r="M70" s="40" t="s">
        <v>167</v>
      </c>
    </row>
    <row r="71" spans="2:14" ht="15" customHeight="1" thickBot="1" x14ac:dyDescent="0.3">
      <c r="B71" s="40" t="s">
        <v>115</v>
      </c>
      <c r="C71" s="40">
        <v>36.208300000000001</v>
      </c>
      <c r="D71" s="40">
        <v>126.420948</v>
      </c>
      <c r="E71" s="40">
        <v>9.7245000000000008</v>
      </c>
      <c r="F71" s="40">
        <v>10</v>
      </c>
      <c r="I71" s="40" t="s">
        <v>168</v>
      </c>
      <c r="J71" s="40" t="s">
        <v>169</v>
      </c>
      <c r="K71" s="40" t="s">
        <v>114</v>
      </c>
      <c r="L71" s="40">
        <v>2894.4430000000002</v>
      </c>
      <c r="M71" s="40" t="s">
        <v>170</v>
      </c>
    </row>
    <row r="72" spans="2:14" ht="15" customHeight="1" thickBot="1" x14ac:dyDescent="0.3">
      <c r="B72" s="40" t="s">
        <v>119</v>
      </c>
      <c r="C72" s="40">
        <v>36.016300000000001</v>
      </c>
      <c r="D72" s="40">
        <v>127.241957</v>
      </c>
      <c r="E72" s="40">
        <v>9.8141999999999996</v>
      </c>
      <c r="F72" s="40">
        <v>10</v>
      </c>
      <c r="I72" s="40" t="s">
        <v>171</v>
      </c>
      <c r="J72" s="40" t="s">
        <v>169</v>
      </c>
      <c r="K72" s="40" t="s">
        <v>114</v>
      </c>
      <c r="L72" s="40">
        <v>145</v>
      </c>
      <c r="M72" s="40" t="s">
        <v>170</v>
      </c>
    </row>
    <row r="73" spans="2:14" ht="15" customHeight="1" thickBot="1" x14ac:dyDescent="0.3">
      <c r="B73" s="40" t="s">
        <v>104</v>
      </c>
      <c r="C73" s="40">
        <v>36.016300000000001</v>
      </c>
      <c r="D73" s="40">
        <v>136.524292</v>
      </c>
      <c r="E73" s="40">
        <v>7.4964000000000004</v>
      </c>
      <c r="F73" s="40">
        <v>10</v>
      </c>
      <c r="I73" s="40" t="s">
        <v>172</v>
      </c>
      <c r="J73" s="40" t="s">
        <v>173</v>
      </c>
      <c r="K73" s="40" t="s">
        <v>117</v>
      </c>
      <c r="L73" s="40">
        <v>1771.0479</v>
      </c>
      <c r="M73" s="40" t="s">
        <v>174</v>
      </c>
    </row>
    <row r="74" spans="2:14" ht="15" customHeight="1" thickBot="1" x14ac:dyDescent="0.3">
      <c r="B74" s="40" t="s">
        <v>109</v>
      </c>
      <c r="C74" s="40">
        <v>35.840299999999999</v>
      </c>
      <c r="D74" s="40">
        <v>121.878974</v>
      </c>
      <c r="E74" s="40">
        <v>7.9371</v>
      </c>
      <c r="F74" s="40">
        <v>10</v>
      </c>
      <c r="I74" s="40" t="s">
        <v>175</v>
      </c>
      <c r="J74" s="40" t="s">
        <v>176</v>
      </c>
      <c r="K74" s="40" t="s">
        <v>113</v>
      </c>
      <c r="L74" s="40">
        <v>46</v>
      </c>
      <c r="M74" s="40" t="s">
        <v>177</v>
      </c>
    </row>
    <row r="75" spans="2:14" ht="15" customHeight="1" thickBot="1" x14ac:dyDescent="0.3">
      <c r="B75" s="40" t="s">
        <v>114</v>
      </c>
      <c r="C75" s="40">
        <v>35.728299999999997</v>
      </c>
      <c r="D75" s="40">
        <v>124.94776899999999</v>
      </c>
      <c r="E75" s="40">
        <v>10</v>
      </c>
      <c r="F75" s="40">
        <v>10</v>
      </c>
      <c r="I75" s="40" t="s">
        <v>178</v>
      </c>
      <c r="J75" s="40" t="s">
        <v>179</v>
      </c>
      <c r="K75" s="40" t="s">
        <v>107</v>
      </c>
      <c r="L75" s="40">
        <v>705</v>
      </c>
      <c r="M75" s="40" t="s">
        <v>180</v>
      </c>
    </row>
    <row r="76" spans="2:14" ht="15" customHeight="1" thickBot="1" x14ac:dyDescent="0.3">
      <c r="B76" s="40" t="s">
        <v>106</v>
      </c>
      <c r="C76" s="40">
        <v>35.568300000000001</v>
      </c>
      <c r="D76" s="40">
        <v>126.309864</v>
      </c>
      <c r="E76" s="40">
        <v>8.4647000000000006</v>
      </c>
      <c r="F76" s="40">
        <v>10</v>
      </c>
      <c r="I76" s="40" t="s">
        <v>181</v>
      </c>
      <c r="J76" s="40" t="s">
        <v>179</v>
      </c>
      <c r="K76" s="40" t="s">
        <v>107</v>
      </c>
      <c r="L76" s="40">
        <v>656</v>
      </c>
      <c r="M76" s="40" t="s">
        <v>180</v>
      </c>
    </row>
    <row r="77" spans="2:14" ht="15" customHeight="1" thickBot="1" x14ac:dyDescent="0.3">
      <c r="B77" s="40" t="s">
        <v>116</v>
      </c>
      <c r="C77" s="40">
        <v>35.296300000000002</v>
      </c>
      <c r="D77" s="40">
        <v>124.06533</v>
      </c>
      <c r="E77" s="40">
        <v>9.0934000000000008</v>
      </c>
      <c r="F77" s="40">
        <v>9.8089999999999993</v>
      </c>
      <c r="I77" s="40" t="s">
        <v>139</v>
      </c>
      <c r="J77" s="40" t="s">
        <v>179</v>
      </c>
      <c r="K77" s="40" t="s">
        <v>107</v>
      </c>
      <c r="L77" s="40">
        <v>655.9606</v>
      </c>
      <c r="M77" s="40" t="s">
        <v>180</v>
      </c>
    </row>
    <row r="78" spans="2:14" ht="15" customHeight="1" thickBot="1" x14ac:dyDescent="0.3">
      <c r="B78" s="40" t="s">
        <v>107</v>
      </c>
      <c r="C78" s="40">
        <v>35.136299999999999</v>
      </c>
      <c r="D78" s="40">
        <v>128.55248599999999</v>
      </c>
      <c r="E78" s="40">
        <v>7.7956000000000003</v>
      </c>
      <c r="F78" s="40">
        <v>10</v>
      </c>
      <c r="I78" s="40" t="s">
        <v>140</v>
      </c>
      <c r="J78" s="40" t="s">
        <v>182</v>
      </c>
      <c r="K78" s="40" t="s">
        <v>108</v>
      </c>
      <c r="L78" s="40">
        <v>36.4163</v>
      </c>
      <c r="M78" s="40" t="s">
        <v>174</v>
      </c>
    </row>
    <row r="79" spans="2:14" ht="15" customHeight="1" thickBot="1" x14ac:dyDescent="0.3">
      <c r="B79" s="40" t="s">
        <v>111</v>
      </c>
      <c r="C79" s="40">
        <v>34.768300000000004</v>
      </c>
      <c r="D79" s="40">
        <v>122.893805</v>
      </c>
      <c r="E79" s="40">
        <v>10</v>
      </c>
      <c r="F79" s="40">
        <v>10</v>
      </c>
      <c r="I79" s="40" t="s">
        <v>141</v>
      </c>
      <c r="J79" s="40" t="s">
        <v>166</v>
      </c>
      <c r="K79" s="40" t="s">
        <v>104</v>
      </c>
      <c r="L79" s="40">
        <v>136.524292</v>
      </c>
      <c r="M79" s="40" t="s">
        <v>170</v>
      </c>
    </row>
    <row r="80" spans="2:14" ht="15" customHeight="1" thickBot="1" x14ac:dyDescent="0.3">
      <c r="B80" s="40" t="s">
        <v>118</v>
      </c>
      <c r="C80" s="40">
        <v>34.568300000000001</v>
      </c>
      <c r="D80" s="40">
        <v>127.68189</v>
      </c>
      <c r="E80" s="40">
        <v>7.9112</v>
      </c>
      <c r="F80" s="40">
        <v>10</v>
      </c>
      <c r="I80" s="40" t="s">
        <v>142</v>
      </c>
      <c r="J80" s="40" t="s">
        <v>166</v>
      </c>
      <c r="K80" s="40" t="s">
        <v>104</v>
      </c>
      <c r="L80" s="40">
        <v>21.988900000000001</v>
      </c>
      <c r="M80" s="40" t="s">
        <v>170</v>
      </c>
    </row>
    <row r="81" spans="2:13" ht="15" customHeight="1" thickBot="1" x14ac:dyDescent="0.3">
      <c r="B81" s="40" t="s">
        <v>105</v>
      </c>
      <c r="C81" s="40">
        <v>34.024299999999997</v>
      </c>
      <c r="D81" s="40">
        <v>123.941688</v>
      </c>
      <c r="E81" s="40">
        <v>10</v>
      </c>
      <c r="F81" s="40">
        <v>10</v>
      </c>
      <c r="I81" s="40" t="s">
        <v>143</v>
      </c>
      <c r="J81" s="40" t="s">
        <v>183</v>
      </c>
      <c r="K81" s="40" t="s">
        <v>104</v>
      </c>
      <c r="L81" s="40">
        <v>122.16549999999999</v>
      </c>
      <c r="M81" s="40" t="s">
        <v>170</v>
      </c>
    </row>
    <row r="82" spans="2:13" ht="15" customHeight="1" thickBot="1" x14ac:dyDescent="0.3">
      <c r="B82" s="40" t="s">
        <v>117</v>
      </c>
      <c r="C82" s="40">
        <v>33.680300000000003</v>
      </c>
      <c r="D82" s="40">
        <v>126.524818</v>
      </c>
      <c r="E82" s="40">
        <v>8.9092000000000002</v>
      </c>
      <c r="F82" s="40">
        <v>10</v>
      </c>
      <c r="I82" s="40" t="s">
        <v>144</v>
      </c>
      <c r="J82" s="40" t="s">
        <v>184</v>
      </c>
      <c r="K82" s="40" t="s">
        <v>105</v>
      </c>
      <c r="L82" s="40">
        <v>10</v>
      </c>
      <c r="M82" s="40" t="s">
        <v>185</v>
      </c>
    </row>
    <row r="83" spans="2:13" ht="15" customHeight="1" thickBot="1" x14ac:dyDescent="0.3">
      <c r="B83" s="40" t="s">
        <v>110</v>
      </c>
      <c r="C83" s="40">
        <v>33.488300000000002</v>
      </c>
      <c r="D83" s="40">
        <v>125.55492599999999</v>
      </c>
      <c r="E83" s="40">
        <v>7.0800999999999998</v>
      </c>
      <c r="F83" s="40">
        <v>10</v>
      </c>
      <c r="I83" s="40" t="s">
        <v>145</v>
      </c>
      <c r="J83" s="40" t="s">
        <v>186</v>
      </c>
      <c r="K83" s="40" t="s">
        <v>118</v>
      </c>
      <c r="L83" s="40">
        <v>10</v>
      </c>
      <c r="M83" s="40" t="s">
        <v>187</v>
      </c>
    </row>
    <row r="84" spans="2:13" ht="15" customHeight="1" thickBot="1" x14ac:dyDescent="0.3">
      <c r="B84" s="40" t="s">
        <v>113</v>
      </c>
      <c r="C84" s="40">
        <v>33.024299999999997</v>
      </c>
      <c r="D84" s="40">
        <v>125.48669599999999</v>
      </c>
      <c r="E84" s="40">
        <v>10</v>
      </c>
      <c r="F84" s="40">
        <v>10</v>
      </c>
      <c r="I84" s="40" t="s">
        <v>146</v>
      </c>
      <c r="J84" s="40" t="s">
        <v>179</v>
      </c>
      <c r="K84" s="40" t="s">
        <v>107</v>
      </c>
      <c r="L84" s="40">
        <v>7.1104390000000004</v>
      </c>
      <c r="M84" s="40" t="s">
        <v>180</v>
      </c>
    </row>
    <row r="85" spans="2:13" ht="15" customHeight="1" thickBot="1" x14ac:dyDescent="0.3">
      <c r="I85" s="40" t="s">
        <v>147</v>
      </c>
      <c r="J85" s="40" t="s">
        <v>188</v>
      </c>
      <c r="K85" s="40" t="s">
        <v>116</v>
      </c>
      <c r="L85" s="40">
        <v>6.7076289999999998</v>
      </c>
      <c r="M85" s="40" t="s">
        <v>189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B29C-AB23-4A0A-B529-4A73CA6C92A4}">
  <dimension ref="A1:AI60"/>
  <sheetViews>
    <sheetView topLeftCell="C40" workbookViewId="0">
      <selection activeCell="G30" sqref="G30:J60"/>
    </sheetView>
  </sheetViews>
  <sheetFormatPr defaultRowHeight="15" x14ac:dyDescent="0.25"/>
  <cols>
    <col min="4" max="4" width="0.140625" customWidth="1"/>
    <col min="5" max="5" width="9.7109375" customWidth="1"/>
    <col min="6" max="6" width="9.42578125" customWidth="1"/>
    <col min="7" max="7" width="15.5703125" customWidth="1"/>
    <col min="8" max="8" width="17.140625" customWidth="1"/>
    <col min="9" max="9" width="14.42578125" customWidth="1"/>
    <col min="10" max="10" width="12.28515625" customWidth="1"/>
    <col min="11" max="11" width="6.7109375" customWidth="1"/>
    <col min="12" max="12" width="6.85546875" customWidth="1"/>
    <col min="13" max="13" width="12.7109375" customWidth="1"/>
    <col min="14" max="14" width="6.28515625" customWidth="1"/>
    <col min="15" max="15" width="7.5703125" customWidth="1"/>
    <col min="16" max="16" width="6.7109375" customWidth="1"/>
    <col min="17" max="17" width="7.28515625" customWidth="1"/>
    <col min="18" max="19" width="7" customWidth="1"/>
    <col min="20" max="20" width="6.7109375" customWidth="1"/>
    <col min="21" max="21" width="7.5703125" customWidth="1"/>
    <col min="22" max="22" width="7.140625" customWidth="1"/>
  </cols>
  <sheetData>
    <row r="1" spans="1:20" ht="45" x14ac:dyDescent="0.25">
      <c r="A1" s="21" t="s">
        <v>0</v>
      </c>
      <c r="B1" s="21" t="s">
        <v>63</v>
      </c>
    </row>
    <row r="2" spans="1:20" x14ac:dyDescent="0.25">
      <c r="A2" s="1" t="s">
        <v>64</v>
      </c>
      <c r="B2" s="3">
        <v>14</v>
      </c>
    </row>
    <row r="3" spans="1:20" x14ac:dyDescent="0.25">
      <c r="A3" s="1" t="s">
        <v>65</v>
      </c>
      <c r="B3" s="3">
        <v>16</v>
      </c>
    </row>
    <row r="4" spans="1:20" x14ac:dyDescent="0.25">
      <c r="A4" s="1" t="s">
        <v>66</v>
      </c>
      <c r="B4" s="3">
        <v>15</v>
      </c>
    </row>
    <row r="5" spans="1:20" ht="15" customHeight="1" x14ac:dyDescent="0.25">
      <c r="A5" s="1" t="s">
        <v>67</v>
      </c>
      <c r="B5" s="3">
        <v>15</v>
      </c>
      <c r="E5" s="35" t="s">
        <v>95</v>
      </c>
      <c r="F5" s="1" t="s">
        <v>96</v>
      </c>
      <c r="G5" s="1" t="s">
        <v>97</v>
      </c>
      <c r="M5" s="21" t="s">
        <v>98</v>
      </c>
      <c r="N5" s="3" t="s">
        <v>99</v>
      </c>
      <c r="O5" s="3" t="s">
        <v>100</v>
      </c>
      <c r="P5" s="3" t="s">
        <v>101</v>
      </c>
      <c r="R5" s="32"/>
      <c r="S5" s="33"/>
      <c r="T5" s="5"/>
    </row>
    <row r="6" spans="1:20" ht="15" customHeight="1" x14ac:dyDescent="0.25">
      <c r="A6" s="1" t="s">
        <v>68</v>
      </c>
      <c r="B6" s="3">
        <v>16</v>
      </c>
      <c r="E6" s="36" t="s">
        <v>94</v>
      </c>
      <c r="F6" s="31">
        <v>1855</v>
      </c>
      <c r="G6" s="31">
        <v>1737</v>
      </c>
      <c r="M6" s="30" t="s">
        <v>94</v>
      </c>
      <c r="N6" s="31">
        <v>1325</v>
      </c>
      <c r="O6" s="31">
        <v>1267</v>
      </c>
      <c r="P6" s="31">
        <v>1000</v>
      </c>
      <c r="R6" s="8"/>
      <c r="S6" s="9"/>
      <c r="T6" s="8"/>
    </row>
    <row r="7" spans="1:20" ht="15" customHeight="1" x14ac:dyDescent="0.25">
      <c r="A7" s="1" t="s">
        <v>69</v>
      </c>
      <c r="B7" s="3">
        <v>16</v>
      </c>
      <c r="E7" s="37" t="s">
        <v>62</v>
      </c>
      <c r="F7" s="1">
        <v>51.64</v>
      </c>
      <c r="G7" s="1">
        <v>48.36</v>
      </c>
      <c r="M7" s="29" t="s">
        <v>62</v>
      </c>
      <c r="N7" s="3">
        <v>36.89</v>
      </c>
      <c r="O7" s="3">
        <v>35.270000000000003</v>
      </c>
      <c r="P7" s="3">
        <v>27.84</v>
      </c>
      <c r="R7" s="8"/>
      <c r="S7" s="9"/>
      <c r="T7" s="8"/>
    </row>
    <row r="8" spans="1:20" x14ac:dyDescent="0.25">
      <c r="A8" s="1" t="s">
        <v>70</v>
      </c>
      <c r="B8" s="3">
        <v>13</v>
      </c>
      <c r="R8" s="8"/>
      <c r="S8" s="9"/>
      <c r="T8" s="8"/>
    </row>
    <row r="9" spans="1:20" x14ac:dyDescent="0.25">
      <c r="A9" s="1" t="s">
        <v>71</v>
      </c>
      <c r="B9" s="3">
        <v>16</v>
      </c>
    </row>
    <row r="10" spans="1:20" x14ac:dyDescent="0.25">
      <c r="A10" s="1" t="s">
        <v>72</v>
      </c>
      <c r="B10" s="3">
        <v>10</v>
      </c>
    </row>
    <row r="11" spans="1:20" x14ac:dyDescent="0.25">
      <c r="A11" s="1" t="s">
        <v>73</v>
      </c>
      <c r="B11" s="3">
        <v>14</v>
      </c>
    </row>
    <row r="12" spans="1:20" x14ac:dyDescent="0.25">
      <c r="A12" s="1" t="s">
        <v>74</v>
      </c>
      <c r="B12" s="3">
        <v>13</v>
      </c>
    </row>
    <row r="13" spans="1:20" x14ac:dyDescent="0.25">
      <c r="A13" s="1" t="s">
        <v>75</v>
      </c>
      <c r="B13" s="3">
        <v>12</v>
      </c>
    </row>
    <row r="14" spans="1:20" x14ac:dyDescent="0.25">
      <c r="A14" s="1" t="s">
        <v>76</v>
      </c>
      <c r="B14" s="3">
        <v>13</v>
      </c>
    </row>
    <row r="15" spans="1:20" x14ac:dyDescent="0.25">
      <c r="A15" s="1" t="s">
        <v>77</v>
      </c>
      <c r="B15" s="3">
        <v>13</v>
      </c>
    </row>
    <row r="16" spans="1:20" x14ac:dyDescent="0.25">
      <c r="A16" s="1" t="s">
        <v>78</v>
      </c>
      <c r="B16" s="3">
        <v>13</v>
      </c>
    </row>
    <row r="17" spans="1:35" x14ac:dyDescent="0.25">
      <c r="A17" s="1" t="s">
        <v>79</v>
      </c>
      <c r="B17" s="3">
        <v>12</v>
      </c>
    </row>
    <row r="18" spans="1:35" x14ac:dyDescent="0.25">
      <c r="A18" s="1" t="s">
        <v>80</v>
      </c>
      <c r="B18" s="3">
        <v>10</v>
      </c>
    </row>
    <row r="19" spans="1:35" x14ac:dyDescent="0.25">
      <c r="A19" s="1" t="s">
        <v>81</v>
      </c>
      <c r="B19" s="3">
        <v>11</v>
      </c>
    </row>
    <row r="20" spans="1:35" x14ac:dyDescent="0.25">
      <c r="A20" s="1" t="s">
        <v>82</v>
      </c>
      <c r="B20" s="3">
        <v>12</v>
      </c>
    </row>
    <row r="21" spans="1:35" x14ac:dyDescent="0.25">
      <c r="A21" s="1" t="s">
        <v>83</v>
      </c>
      <c r="B21" s="3">
        <v>10</v>
      </c>
    </row>
    <row r="22" spans="1:35" x14ac:dyDescent="0.25">
      <c r="A22" s="1" t="s">
        <v>84</v>
      </c>
      <c r="B22" s="3">
        <v>12</v>
      </c>
    </row>
    <row r="23" spans="1:35" ht="15" customHeight="1" x14ac:dyDescent="0.25">
      <c r="A23" s="1" t="s">
        <v>85</v>
      </c>
      <c r="B23" s="3">
        <v>11</v>
      </c>
      <c r="E23" s="32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</row>
    <row r="24" spans="1:35" ht="15" customHeight="1" x14ac:dyDescent="0.25">
      <c r="A24" s="1" t="s">
        <v>86</v>
      </c>
      <c r="B24" s="3">
        <v>11</v>
      </c>
      <c r="E24" s="3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x14ac:dyDescent="0.25">
      <c r="A25" s="1" t="s">
        <v>87</v>
      </c>
      <c r="B25" s="3">
        <v>13</v>
      </c>
    </row>
    <row r="26" spans="1:35" x14ac:dyDescent="0.25">
      <c r="A26" s="1" t="s">
        <v>88</v>
      </c>
      <c r="B26" s="3">
        <v>9</v>
      </c>
    </row>
    <row r="27" spans="1:35" x14ac:dyDescent="0.25">
      <c r="A27" s="1" t="s">
        <v>89</v>
      </c>
      <c r="B27" s="3">
        <v>8</v>
      </c>
    </row>
    <row r="28" spans="1:35" x14ac:dyDescent="0.25">
      <c r="A28" s="1" t="s">
        <v>90</v>
      </c>
      <c r="B28" s="3">
        <v>9</v>
      </c>
    </row>
    <row r="29" spans="1:35" ht="15.75" thickBot="1" x14ac:dyDescent="0.3">
      <c r="A29" s="1" t="s">
        <v>91</v>
      </c>
      <c r="B29" s="3">
        <v>11</v>
      </c>
    </row>
    <row r="30" spans="1:35" ht="36.75" customHeight="1" thickBot="1" x14ac:dyDescent="0.3">
      <c r="A30" s="1" t="s">
        <v>92</v>
      </c>
      <c r="B30" s="3">
        <v>11</v>
      </c>
      <c r="F30" s="38" t="s">
        <v>190</v>
      </c>
      <c r="G30" s="38" t="s">
        <v>144</v>
      </c>
      <c r="H30" s="38" t="s">
        <v>145</v>
      </c>
      <c r="I30" s="38" t="s">
        <v>146</v>
      </c>
      <c r="J30" s="38" t="s">
        <v>147</v>
      </c>
    </row>
    <row r="31" spans="1:35" ht="15" customHeight="1" thickBot="1" x14ac:dyDescent="0.3">
      <c r="A31" s="1" t="s">
        <v>93</v>
      </c>
      <c r="B31" s="3">
        <v>12</v>
      </c>
      <c r="F31" s="40" t="s">
        <v>170</v>
      </c>
      <c r="G31" s="40">
        <v>5.92</v>
      </c>
      <c r="H31" s="40">
        <v>7.27</v>
      </c>
      <c r="I31" s="40">
        <v>4.29</v>
      </c>
      <c r="J31" s="40">
        <v>4.12</v>
      </c>
    </row>
    <row r="32" spans="1:35" ht="15" customHeight="1" thickBot="1" x14ac:dyDescent="0.3">
      <c r="F32" s="40" t="s">
        <v>191</v>
      </c>
      <c r="G32" s="40">
        <v>5.95</v>
      </c>
      <c r="H32" s="40">
        <v>7.13</v>
      </c>
      <c r="I32" s="40">
        <v>4.09</v>
      </c>
      <c r="J32" s="40">
        <v>3.93</v>
      </c>
    </row>
    <row r="33" spans="6:10" ht="15" customHeight="1" thickBot="1" x14ac:dyDescent="0.3">
      <c r="F33" s="40" t="s">
        <v>192</v>
      </c>
      <c r="G33" s="40">
        <v>5.89</v>
      </c>
      <c r="H33" s="40">
        <v>7.18</v>
      </c>
      <c r="I33" s="40">
        <v>4.4000000000000004</v>
      </c>
      <c r="J33" s="40">
        <v>4.2300000000000004</v>
      </c>
    </row>
    <row r="34" spans="6:10" ht="15" customHeight="1" thickBot="1" x14ac:dyDescent="0.3">
      <c r="F34" s="40" t="s">
        <v>193</v>
      </c>
      <c r="G34" s="40">
        <v>5.84</v>
      </c>
      <c r="H34" s="40">
        <v>7.18</v>
      </c>
      <c r="I34" s="40">
        <v>4.2699999999999996</v>
      </c>
      <c r="J34" s="40">
        <v>4.0999999999999996</v>
      </c>
    </row>
    <row r="35" spans="6:10" ht="15" customHeight="1" thickBot="1" x14ac:dyDescent="0.3">
      <c r="F35" s="40" t="s">
        <v>194</v>
      </c>
      <c r="G35" s="40">
        <v>5.84</v>
      </c>
      <c r="H35" s="40">
        <v>7.08</v>
      </c>
      <c r="I35" s="40">
        <v>4.41</v>
      </c>
      <c r="J35" s="40">
        <v>4.25</v>
      </c>
    </row>
    <row r="36" spans="6:10" ht="15" customHeight="1" thickBot="1" x14ac:dyDescent="0.3">
      <c r="F36" s="40" t="s">
        <v>195</v>
      </c>
      <c r="G36" s="40">
        <v>5.92</v>
      </c>
      <c r="H36" s="40">
        <v>7.22</v>
      </c>
      <c r="I36" s="40">
        <v>3.98</v>
      </c>
      <c r="J36" s="40">
        <v>3.81</v>
      </c>
    </row>
    <row r="37" spans="6:10" ht="15" customHeight="1" thickBot="1" x14ac:dyDescent="0.3">
      <c r="F37" s="40" t="s">
        <v>167</v>
      </c>
      <c r="G37" s="40">
        <v>5.8</v>
      </c>
      <c r="H37" s="40">
        <v>7.33</v>
      </c>
      <c r="I37" s="40">
        <v>3.97</v>
      </c>
      <c r="J37" s="40">
        <v>3.81</v>
      </c>
    </row>
    <row r="38" spans="6:10" ht="15" customHeight="1" thickBot="1" x14ac:dyDescent="0.3">
      <c r="F38" s="40" t="s">
        <v>196</v>
      </c>
      <c r="G38" s="40">
        <v>5.77</v>
      </c>
      <c r="H38" s="40">
        <v>7.36</v>
      </c>
      <c r="I38" s="40">
        <v>4.0999999999999996</v>
      </c>
      <c r="J38" s="40">
        <v>3.94</v>
      </c>
    </row>
    <row r="39" spans="6:10" ht="15" customHeight="1" thickBot="1" x14ac:dyDescent="0.3">
      <c r="F39" s="40" t="s">
        <v>197</v>
      </c>
      <c r="G39" s="40">
        <v>5.75</v>
      </c>
      <c r="H39" s="40">
        <v>7.16</v>
      </c>
      <c r="I39" s="40">
        <v>4.22</v>
      </c>
      <c r="J39" s="40">
        <v>4.03</v>
      </c>
    </row>
    <row r="40" spans="6:10" ht="15" customHeight="1" thickBot="1" x14ac:dyDescent="0.3">
      <c r="F40" s="40" t="s">
        <v>198</v>
      </c>
      <c r="G40" s="40">
        <v>5.88</v>
      </c>
      <c r="H40" s="40">
        <v>7.24</v>
      </c>
      <c r="I40" s="40">
        <v>4.28</v>
      </c>
      <c r="J40" s="40">
        <v>4.12</v>
      </c>
    </row>
    <row r="41" spans="6:10" ht="15" customHeight="1" thickBot="1" x14ac:dyDescent="0.3">
      <c r="F41" s="40" t="s">
        <v>174</v>
      </c>
      <c r="G41" s="40">
        <v>5.81</v>
      </c>
      <c r="H41" s="40">
        <v>7.19</v>
      </c>
      <c r="I41" s="40">
        <v>3.88</v>
      </c>
      <c r="J41" s="40">
        <v>3.72</v>
      </c>
    </row>
    <row r="42" spans="6:10" ht="15" customHeight="1" thickBot="1" x14ac:dyDescent="0.3">
      <c r="F42" s="40" t="s">
        <v>199</v>
      </c>
      <c r="G42" s="40">
        <v>5.9</v>
      </c>
      <c r="H42" s="40">
        <v>7.22</v>
      </c>
      <c r="I42" s="40">
        <v>4.05</v>
      </c>
      <c r="J42" s="40">
        <v>3.87</v>
      </c>
    </row>
    <row r="43" spans="6:10" ht="15" customHeight="1" thickBot="1" x14ac:dyDescent="0.3">
      <c r="F43" s="40" t="s">
        <v>177</v>
      </c>
      <c r="G43" s="40">
        <v>5.87</v>
      </c>
      <c r="H43" s="40">
        <v>6.95</v>
      </c>
      <c r="I43" s="40">
        <v>3.97</v>
      </c>
      <c r="J43" s="40">
        <v>3.8</v>
      </c>
    </row>
    <row r="44" spans="6:10" ht="15" customHeight="1" thickBot="1" x14ac:dyDescent="0.3">
      <c r="F44" s="40" t="s">
        <v>200</v>
      </c>
      <c r="G44" s="40">
        <v>5.86</v>
      </c>
      <c r="H44" s="40">
        <v>7.09</v>
      </c>
      <c r="I44" s="40">
        <v>3.99</v>
      </c>
      <c r="J44" s="40">
        <v>3.83</v>
      </c>
    </row>
    <row r="45" spans="6:10" ht="15" customHeight="1" thickBot="1" x14ac:dyDescent="0.3">
      <c r="F45" s="40" t="s">
        <v>201</v>
      </c>
      <c r="G45" s="40">
        <v>5.87</v>
      </c>
      <c r="H45" s="40">
        <v>7.01</v>
      </c>
      <c r="I45" s="40">
        <v>4.01</v>
      </c>
      <c r="J45" s="40">
        <v>3.86</v>
      </c>
    </row>
    <row r="46" spans="6:10" ht="15" customHeight="1" thickBot="1" x14ac:dyDescent="0.3">
      <c r="F46" s="40" t="s">
        <v>202</v>
      </c>
      <c r="G46" s="40">
        <v>5.79</v>
      </c>
      <c r="H46" s="40">
        <v>7.24</v>
      </c>
      <c r="I46" s="40">
        <v>3.82</v>
      </c>
      <c r="J46" s="40">
        <v>3.66</v>
      </c>
    </row>
    <row r="47" spans="6:10" ht="15" customHeight="1" thickBot="1" x14ac:dyDescent="0.3">
      <c r="F47" s="40" t="s">
        <v>203</v>
      </c>
      <c r="G47" s="40">
        <v>5.98</v>
      </c>
      <c r="H47" s="40">
        <v>7.25</v>
      </c>
      <c r="I47" s="40">
        <v>3.76</v>
      </c>
      <c r="J47" s="40">
        <v>3.62</v>
      </c>
    </row>
    <row r="48" spans="6:10" ht="15" customHeight="1" thickBot="1" x14ac:dyDescent="0.3">
      <c r="F48" s="40" t="s">
        <v>204</v>
      </c>
      <c r="G48" s="40">
        <v>5.85</v>
      </c>
      <c r="H48" s="40">
        <v>7.09</v>
      </c>
      <c r="I48" s="40">
        <v>3.76</v>
      </c>
      <c r="J48" s="40">
        <v>3.62</v>
      </c>
    </row>
    <row r="49" spans="6:10" ht="15" customHeight="1" thickBot="1" x14ac:dyDescent="0.3">
      <c r="F49" s="40" t="s">
        <v>205</v>
      </c>
      <c r="G49" s="40">
        <v>5.84</v>
      </c>
      <c r="H49" s="40">
        <v>7.19</v>
      </c>
      <c r="I49" s="40">
        <v>3.99</v>
      </c>
      <c r="J49" s="40">
        <v>3.82</v>
      </c>
    </row>
    <row r="50" spans="6:10" ht="15" customHeight="1" thickBot="1" x14ac:dyDescent="0.3">
      <c r="F50" s="40" t="s">
        <v>206</v>
      </c>
      <c r="G50" s="40">
        <v>5.84</v>
      </c>
      <c r="H50" s="40">
        <v>7.13</v>
      </c>
      <c r="I50" s="40">
        <v>3.73</v>
      </c>
      <c r="J50" s="40">
        <v>3.59</v>
      </c>
    </row>
    <row r="51" spans="6:10" ht="15" customHeight="1" thickBot="1" x14ac:dyDescent="0.3">
      <c r="F51" s="40" t="s">
        <v>185</v>
      </c>
      <c r="G51" s="40">
        <v>5.87</v>
      </c>
      <c r="H51" s="40">
        <v>7.23</v>
      </c>
      <c r="I51" s="40">
        <v>3.82</v>
      </c>
      <c r="J51" s="40">
        <v>3.66</v>
      </c>
    </row>
    <row r="52" spans="6:10" ht="15" customHeight="1" thickBot="1" x14ac:dyDescent="0.3">
      <c r="F52" s="40" t="s">
        <v>207</v>
      </c>
      <c r="G52" s="40">
        <v>5.93</v>
      </c>
      <c r="H52" s="40">
        <v>6.95</v>
      </c>
      <c r="I52" s="40">
        <v>4.1900000000000004</v>
      </c>
      <c r="J52" s="40">
        <v>4.0199999999999996</v>
      </c>
    </row>
    <row r="53" spans="6:10" ht="17.25" thickBot="1" x14ac:dyDescent="0.3">
      <c r="F53" s="40" t="s">
        <v>208</v>
      </c>
      <c r="G53" s="40">
        <v>5.78</v>
      </c>
      <c r="H53" s="40">
        <v>7.4</v>
      </c>
      <c r="I53" s="40">
        <v>3.96</v>
      </c>
      <c r="J53" s="40">
        <v>3.8</v>
      </c>
    </row>
    <row r="54" spans="6:10" ht="17.25" thickBot="1" x14ac:dyDescent="0.3">
      <c r="F54" s="40" t="s">
        <v>209</v>
      </c>
      <c r="G54" s="40">
        <v>5.82</v>
      </c>
      <c r="H54" s="40">
        <v>7.06</v>
      </c>
      <c r="I54" s="40">
        <v>3.96</v>
      </c>
      <c r="J54" s="40">
        <v>3.81</v>
      </c>
    </row>
    <row r="55" spans="6:10" ht="17.25" thickBot="1" x14ac:dyDescent="0.3">
      <c r="F55" s="40" t="s">
        <v>187</v>
      </c>
      <c r="G55" s="40">
        <v>5.8</v>
      </c>
      <c r="H55" s="40">
        <v>7.26</v>
      </c>
      <c r="I55" s="40">
        <v>4.09</v>
      </c>
      <c r="J55" s="40">
        <v>3.93</v>
      </c>
    </row>
    <row r="56" spans="6:10" ht="17.25" thickBot="1" x14ac:dyDescent="0.3">
      <c r="F56" s="40" t="s">
        <v>210</v>
      </c>
      <c r="G56" s="40">
        <v>5.9</v>
      </c>
      <c r="H56" s="40">
        <v>7.14</v>
      </c>
      <c r="I56" s="40">
        <v>4.0999999999999996</v>
      </c>
      <c r="J56" s="40">
        <v>3.94</v>
      </c>
    </row>
    <row r="57" spans="6:10" ht="17.25" thickBot="1" x14ac:dyDescent="0.3">
      <c r="F57" s="40" t="s">
        <v>189</v>
      </c>
      <c r="G57" s="40">
        <v>5.74</v>
      </c>
      <c r="H57" s="40">
        <v>7.2</v>
      </c>
      <c r="I57" s="40">
        <v>4.33</v>
      </c>
      <c r="J57" s="40">
        <v>4.16</v>
      </c>
    </row>
    <row r="58" spans="6:10" ht="17.25" thickBot="1" x14ac:dyDescent="0.3">
      <c r="F58" s="40" t="s">
        <v>211</v>
      </c>
      <c r="G58" s="40">
        <v>5.81</v>
      </c>
      <c r="H58" s="40">
        <v>6.89</v>
      </c>
      <c r="I58" s="40">
        <v>4.1399999999999997</v>
      </c>
      <c r="J58" s="40">
        <v>3.98</v>
      </c>
    </row>
    <row r="59" spans="6:10" ht="17.25" thickBot="1" x14ac:dyDescent="0.3">
      <c r="F59" s="40" t="s">
        <v>180</v>
      </c>
      <c r="G59" s="40">
        <v>5.85</v>
      </c>
      <c r="H59" s="40">
        <v>7.1</v>
      </c>
      <c r="I59" s="40">
        <v>4.2699999999999996</v>
      </c>
      <c r="J59" s="40">
        <v>4.0999999999999996</v>
      </c>
    </row>
    <row r="60" spans="6:10" ht="17.25" thickBot="1" x14ac:dyDescent="0.3">
      <c r="F60" s="40" t="s">
        <v>212</v>
      </c>
      <c r="G60" s="40">
        <v>5.84</v>
      </c>
      <c r="H60" s="40">
        <v>7.15</v>
      </c>
      <c r="I60" s="40">
        <v>3.92</v>
      </c>
      <c r="J60" s="40">
        <v>3.75</v>
      </c>
    </row>
  </sheetData>
  <conditionalFormatting sqref="G31:G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7" priority="11" aboveAverage="0"/>
    <cfRule type="aboveAverage" dxfId="6" priority="12"/>
  </conditionalFormatting>
  <conditionalFormatting sqref="H31:H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5" priority="9" aboveAverage="0"/>
    <cfRule type="aboveAverage" dxfId="4" priority="10"/>
  </conditionalFormatting>
  <conditionalFormatting sqref="I31:I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3" priority="7" aboveAverage="0"/>
    <cfRule type="aboveAverage" dxfId="2" priority="8"/>
  </conditionalFormatting>
  <conditionalFormatting sqref="J31:J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1" priority="5" aboveAverage="0"/>
    <cfRule type="aboveAverage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 Nyanzi</dc:creator>
  <cp:lastModifiedBy>Humphrey Nyanzi</cp:lastModifiedBy>
  <dcterms:created xsi:type="dcterms:W3CDTF">2025-06-23T08:25:32Z</dcterms:created>
  <dcterms:modified xsi:type="dcterms:W3CDTF">2025-06-25T13:51:22Z</dcterms:modified>
</cp:coreProperties>
</file>